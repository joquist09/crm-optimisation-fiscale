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fldfsin-my.sharepoint.com/personal/admin03_53_sfl_ca2/Documents/Documents/OF/"/>
    </mc:Choice>
  </mc:AlternateContent>
  <xr:revisionPtr revIDLastSave="0" documentId="8_{E4B89A9A-3235-4592-8D26-218F72EC2AA7}" xr6:coauthVersionLast="47" xr6:coauthVersionMax="47" xr10:uidLastSave="{00000000-0000-0000-0000-000000000000}"/>
  <bookViews>
    <workbookView showHorizontalScroll="0" xWindow="-98" yWindow="-98" windowWidth="19396" windowHeight="10996" activeTab="1" xr2:uid="{00000000-000D-0000-FFFF-FFFF00000000}"/>
  </bookViews>
  <sheets>
    <sheet name="Filtres" sheetId="15" r:id="rId1"/>
    <sheet name="Questionnaire OF" sheetId="8" r:id="rId2"/>
    <sheet name="Traduction" sheetId="19" state="hidden" r:id="rId3"/>
    <sheet name="Listes" sheetId="22" state="veryHidden" r:id="rId4"/>
    <sheet name="Documents à remettre" sheetId="16" r:id="rId5"/>
    <sheet name="Signature conseiller" sheetId="20" r:id="rId6"/>
  </sheets>
  <externalReferences>
    <externalReference r:id="rId7"/>
  </externalReferences>
  <definedNames>
    <definedName name="AccumulationNoms">'Questionnaire OF'!$G$181:INDEX('Questionnaire OF'!$G$181:$G$208,COUNTIF('Questionnaire OF'!$G$181:$G$208,"?*"))</definedName>
    <definedName name="AccumulationNoms2">'Questionnaire OF'!$G$217:INDEX('Questionnaire OF'!$G$217:$G$226,COUNTIF('Questionnaire OF'!$G$217:$G$226,"?*"))</definedName>
    <definedName name="AccumulationNoms3">'Questionnaire OF'!$G$254:INDEX('Questionnaire OF'!$G$254:$G$278,COUNTIF('Questionnaire OF'!$G$254:$G$278,"?*"))</definedName>
    <definedName name="AssCorpo1">'Questionnaire OF'!$A$752:$C$763</definedName>
    <definedName name="AssCorpo10">'Questionnaire OF'!$A$844:$C$853</definedName>
    <definedName name="AssCorpo2">'Questionnaire OF'!$A$764:$C$773</definedName>
    <definedName name="AssCorpo3">'Questionnaire OF'!$A$774:$C$783</definedName>
    <definedName name="AssCorpo4">'Questionnaire OF'!$A$784:$C$793</definedName>
    <definedName name="AssCorpo5">'Questionnaire OF'!$A$794:$C$803</definedName>
    <definedName name="AssCorpo6">'Questionnaire OF'!$A$804:$C$813</definedName>
    <definedName name="AssCorpo7">'Questionnaire OF'!$A$814:$C$823</definedName>
    <definedName name="AssCorpo8">'Questionnaire OF'!$A$824:$C$833</definedName>
    <definedName name="AssCorpo9">'Questionnaire OF'!$A$834:$C$843</definedName>
    <definedName name="assureur">[1]Note!$D$2:$D$19</definedName>
    <definedName name="AssViePerso1">'Questionnaire OF'!$A$670:$C$679</definedName>
    <definedName name="AssViePerso10">'Questionnaire OF'!$A$744:$C$751</definedName>
    <definedName name="AssViePerso2">'Questionnaire OF'!$A$680:$C$687</definedName>
    <definedName name="AssViePerso3">'Questionnaire OF'!$A$688:$C$695</definedName>
    <definedName name="AssViePerso4">'Questionnaire OF'!$A$696:$C$703</definedName>
    <definedName name="AssViePerso5">'Questionnaire OF'!$A$704:$C$711</definedName>
    <definedName name="AssViePerso6">'Questionnaire OF'!$A$712:$C$719</definedName>
    <definedName name="AssViePerso7">'Questionnaire OF'!$A$720:$C$727</definedName>
    <definedName name="AssViePerso8">'Questionnaire OF'!$A$728:$C$735</definedName>
    <definedName name="AssViePerso9">'Questionnaire OF'!$A$736:$C$743</definedName>
    <definedName name="AutreActif1">'Questionnaire OF'!$A$854:$C$868</definedName>
    <definedName name="AutreActif2">'Questionnaire OF'!$A$869:$C$881</definedName>
    <definedName name="AutreActif3">'Questionnaire OF'!$A$882:$C$894</definedName>
    <definedName name="AutreActif4">'Questionnaire OF'!$A$895:$C$907</definedName>
    <definedName name="AutreActif5">'Questionnaire OF'!$A$908:$C$920</definedName>
    <definedName name="ColonneConjoint">'Questionnaire OF'!$C:$C</definedName>
    <definedName name="DataNomEnfant1">'Questionnaire OF'!$B$33</definedName>
    <definedName name="DataNomEnfant2">'Questionnaire OF'!$B$42</definedName>
    <definedName name="DataNomEnfant3">'Questionnaire OF'!$B$51</definedName>
    <definedName name="DataNomEnfant4">'Questionnaire OF'!$B$60</definedName>
    <definedName name="DDNClient">'Questionnaire OF'!$B$9</definedName>
    <definedName name="DDNConjoint">'Questionnaire OF'!$C$9</definedName>
    <definedName name="DDNEnfant1">'Questionnaire OF'!$B$34</definedName>
    <definedName name="DDNEnfant2">'Questionnaire OF'!$B$43</definedName>
    <definedName name="DDNEnfant3">'Questionnaire OF'!$B$52</definedName>
    <definedName name="DDNEnfant4">'Questionnaire OF'!$B$61</definedName>
    <definedName name="DépenseExtra1">'Questionnaire OF'!$A$1033:$C$1040</definedName>
    <definedName name="DépenseExtra2">'Questionnaire OF'!$A$1041:$C$1046</definedName>
    <definedName name="DépenseExtra3">'Questionnaire OF'!$A$1047:$C$1052</definedName>
    <definedName name="DépenseExtra4">'Questionnaire OF'!$A$1053:$C$1058</definedName>
    <definedName name="DépenseExtra5">'Questionnaire OF'!$A$1059:$C$1064</definedName>
    <definedName name="DroitsREERInutClient">'Questionnaire OF'!$B$22</definedName>
    <definedName name="DroitsREERInutConjoint">'Questionnaire OF'!$C$22</definedName>
    <definedName name="EmploiFinClient">'Questionnaire OF'!$B$13</definedName>
    <definedName name="EmploiFinConjoint">'Questionnaire OF'!$C$13</definedName>
    <definedName name="Enfant1">'Questionnaire OF'!$A$30:$C$40</definedName>
    <definedName name="Enfant2">'Questionnaire OF'!$A$41:$C$49</definedName>
    <definedName name="Enfant3">'Questionnaire OF'!$A$50:$C$58</definedName>
    <definedName name="Enfant4">'Questionnaire OF'!$A$59:$C$67</definedName>
    <definedName name="Fiducie1">'Questionnaire OF'!$A$302:$C$307</definedName>
    <definedName name="Fiducie10">'Questionnaire OF'!$A$340:$C$343</definedName>
    <definedName name="Fiducie2">'Questionnaire OF'!$A$308:$C$311</definedName>
    <definedName name="Fiducie3">'Questionnaire OF'!$A$312:$C$315</definedName>
    <definedName name="Fiducie4">'Questionnaire OF'!$A$316:$C$319</definedName>
    <definedName name="Fiducie5">'Questionnaire OF'!$A$320:$C$323</definedName>
    <definedName name="Fiducie6">'Questionnaire OF'!$A$324:$C$327</definedName>
    <definedName name="Fiducie7">'Questionnaire OF'!$A$328:$C$331</definedName>
    <definedName name="Fiducie8">'Questionnaire OF'!$A$332:$C$335</definedName>
    <definedName name="Fiducie9">'Questionnaire OF'!$A$336:$C$339</definedName>
    <definedName name="FondsPension">Filtres!$B$10</definedName>
    <definedName name="FondsPension2">Filtres!$B$11</definedName>
    <definedName name="FondsPensionCD">'Questionnaire OF'!$A$78:$C$83</definedName>
    <definedName name="FondsPensionCD2">'Questionnaire OF'!$A$91:$C$96</definedName>
    <definedName name="FondsPensionPD">'Questionnaire OF'!$A$71:$C$77</definedName>
    <definedName name="FondsPensionPD2">'Questionnaire OF'!$A$84:$C$90</definedName>
    <definedName name="Gestion1">'Questionnaire OF'!$A$108:$C$123</definedName>
    <definedName name="Gestion2">'Questionnaire OF'!$A$124:$C$137</definedName>
    <definedName name="Gestion3">'Questionnaire OF'!$A$138:$C$151</definedName>
    <definedName name="Gestion4">'Questionnaire OF'!$A$152:$C$165</definedName>
    <definedName name="Gestion5">'Questionnaire OF'!$A$166:$C$179</definedName>
    <definedName name="ImmeubleCorpo1">'Questionnaire OF'!$A$518:$C$534</definedName>
    <definedName name="ImmeubleCorpo10">'Questionnaire OF'!$A$655:$C$669</definedName>
    <definedName name="ImmeubleCorpo2">'Questionnaire OF'!$A$535:$C$549</definedName>
    <definedName name="ImmeubleCorpo3">'Questionnaire OF'!$A$550:$C$564</definedName>
    <definedName name="ImmeubleCorpo4">'Questionnaire OF'!$A$565:$C$579</definedName>
    <definedName name="ImmeubleCorpo5">'Questionnaire OF'!$A$580:$C$594</definedName>
    <definedName name="ImmeubleCorpo6">'Questionnaire OF'!$A$595:$C$609</definedName>
    <definedName name="ImmeubleCorpo7">'Questionnaire OF'!$A$610:$C$624</definedName>
    <definedName name="ImmeubleCorpo8">'Questionnaire OF'!$A$625:$C$639</definedName>
    <definedName name="ImmeubleCorpo9">'Questionnaire OF'!$A$640:$C$654</definedName>
    <definedName name="ImmeublePerso1">'Questionnaire OF'!$A$376:$C$391</definedName>
    <definedName name="ImmeublePerso10">'Questionnaire OF'!$A$504:$C$517</definedName>
    <definedName name="ImmeublePerso2">'Questionnaire OF'!$A$392:$C$405</definedName>
    <definedName name="ImmeublePerso3">'Questionnaire OF'!$A$406:$C$419</definedName>
    <definedName name="ImmeublePerso4">'Questionnaire OF'!$A$420:$C$433</definedName>
    <definedName name="ImmeublePerso5">'Questionnaire OF'!$A$434:$C$447</definedName>
    <definedName name="ImmeublePerso6">'Questionnaire OF'!$A$448:$C$461</definedName>
    <definedName name="ImmeublePerso7">'Questionnaire OF'!$A$462:$C$475</definedName>
    <definedName name="ImmeublePerso8">'Questionnaire OF'!$A$476:$C$489</definedName>
    <definedName name="ImmeublePerso9">'Questionnaire OF'!$A$490:$C$503</definedName>
    <definedName name="Langue">Filtres!$B$5</definedName>
    <definedName name="LiquiditésSoc1">'Questionnaire OF'!$B$117</definedName>
    <definedName name="LiquiditésSoc2">'Questionnaire OF'!$B$131</definedName>
    <definedName name="LiquiditésSoc3">'Questionnaire OF'!$B$145</definedName>
    <definedName name="LiquiditésSoc4">'Questionnaire OF'!$B$159</definedName>
    <definedName name="LiquiditésSoc5">'Questionnaire OF'!$B$173</definedName>
    <definedName name="NbAssCorpo">Filtres!$B$22</definedName>
    <definedName name="NbAssViePerso">Filtres!$B$21</definedName>
    <definedName name="NbAutresActifs">Filtres!$B$23</definedName>
    <definedName name="NbClients">Filtres!$B$6</definedName>
    <definedName name="NbDépensesExtra">Filtres!$B$27</definedName>
    <definedName name="NbEnfants">Filtres!$B$7</definedName>
    <definedName name="NbFiducies">Filtres!$B$17</definedName>
    <definedName name="NbGestions">Filtres!$B$15</definedName>
    <definedName name="NbImmeublesCorpo">Filtres!$B$20</definedName>
    <definedName name="NbImmeublesPerso">Filtres!$B$19</definedName>
    <definedName name="NbOpérantes">Filtres!$B$16</definedName>
    <definedName name="NbRevenusExtra">Filtres!$B$28</definedName>
    <definedName name="NbSENC">Filtres!$B$18</definedName>
    <definedName name="NbVentesCorpo">Filtres!$B$26</definedName>
    <definedName name="NomConjoint">'Questionnaire OF'!$C$6</definedName>
    <definedName name="NomOpérantes">'Questionnaire OF'!$B$231,'Questionnaire OF'!$B$219,'Questionnaire OF'!$B$207,'Questionnaire OF'!$B$195,'Questionnaire OF'!$B$183</definedName>
    <definedName name="NomPrenom">'Questionnaire OF'!$B$6</definedName>
    <definedName name="Opérante1">'Questionnaire OF'!$A$180:$C$193</definedName>
    <definedName name="Opérante10">'Questionnaire OF'!$A$290:$C$301</definedName>
    <definedName name="Opérante2">'Questionnaire OF'!$A$194:$C$205</definedName>
    <definedName name="Opérante3">'Questionnaire OF'!$A$206:$C$217</definedName>
    <definedName name="Opérante4">'Questionnaire OF'!$A$218:$C$229</definedName>
    <definedName name="Opérante5">'Questionnaire OF'!$A$230:$C$241</definedName>
    <definedName name="Opérante6">'Questionnaire OF'!$A$242:$C$253</definedName>
    <definedName name="Opérante7">'Questionnaire OF'!$A$254:$C$265</definedName>
    <definedName name="Opérante8">'Questionnaire OF'!$A$266:$C$277</definedName>
    <definedName name="Opérante9">'Questionnaire OF'!$A$278:$C$289</definedName>
    <definedName name="paie">[1]Note!$A$2:$A$6</definedName>
    <definedName name="PBRNEClient">'Questionnaire OF'!$B$18</definedName>
    <definedName name="PBRNEConjoint">'Questionnaire OF'!$C$18</definedName>
    <definedName name="Plan">[1]Donnée!$D$7:$D$11</definedName>
    <definedName name="Province">'Questionnaire OF'!$B$3</definedName>
    <definedName name="QuestionsSociétés">Filtres!$A$15:$A$16,Filtres!$A$18,Filtres!$A$20,Filtres!$A$22,Filtres!$A$25,Filtres!$A$26</definedName>
    <definedName name="RevenuEmploiClient">'Questionnaire OF'!$B$70</definedName>
    <definedName name="RevenuEmploiConjoint">'Questionnaire OF'!$C$70</definedName>
    <definedName name="RevenuEntrepriseClient">'Questionnaire OF'!$B$107</definedName>
    <definedName name="RevenuEntrepriseConjoint">'Questionnaire OF'!$C$107</definedName>
    <definedName name="RevenuExtra1">'Questionnaire OF'!$A$1065:$C$1073</definedName>
    <definedName name="RevenuExtra2">'Questionnaire OF'!$A$1074:$C$1080</definedName>
    <definedName name="RevenuExtra3">'Questionnaire OF'!$A$1081:$C$1087</definedName>
    <definedName name="RevenuExtra4">'Questionnaire OF'!$A$1088:$C$1094</definedName>
    <definedName name="RevenuExtra5">'Questionnaire OF'!$A$1095:$C$1101</definedName>
    <definedName name="RevenuPension1Client">'Questionnaire OF'!$B$76</definedName>
    <definedName name="RevenuPension1Conjoint">'Questionnaire OF'!$C$76</definedName>
    <definedName name="RevenuPension2Client">'Questionnaire OF'!$B$77</definedName>
    <definedName name="RevenuPension2Conjoint">'Questionnaire OF'!$C$77</definedName>
    <definedName name="RevExploitSoc1">'Questionnaire OF'!$B$191</definedName>
    <definedName name="RevExploitSoc2">'Questionnaire OF'!$B$203</definedName>
    <definedName name="RevExploitSoc3">'Questionnaire OF'!$B$215</definedName>
    <definedName name="RevExploitSoc4">'Questionnaire OF'!$B$227</definedName>
    <definedName name="RevExploitSoc5">'Questionnaire OF'!$B$239</definedName>
    <definedName name="Risque">[1]Donnée!$A$17:$A$22</definedName>
    <definedName name="RPDB">Filtres!$B$12</definedName>
    <definedName name="RREouRRI">Filtres!$B$13</definedName>
    <definedName name="SalaireMaxClientSOP1">'Questionnaire OF'!$B$184</definedName>
    <definedName name="SalaireMaxClientSOP2">'Questionnaire OF'!$B$196</definedName>
    <definedName name="SalaireMaxClientSOP3">'Questionnaire OF'!$B$208</definedName>
    <definedName name="SalaireMaxClientSOP4">'Questionnaire OF'!$B$220</definedName>
    <definedName name="SalaireMaxClientSOP5">'Questionnaire OF'!$B$232</definedName>
    <definedName name="SalaireMaxConjointSOP1">'Questionnaire OF'!$C$184</definedName>
    <definedName name="SalaireMaxConjointSOP2">'Questionnaire OF'!$C$196</definedName>
    <definedName name="SalaireMaxConjointSOP3">'Questionnaire OF'!$C$208</definedName>
    <definedName name="SalaireMaxConjointSOP4">'Questionnaire OF'!$C$220</definedName>
    <definedName name="SalaireMaxConjointSOP5">'Questionnaire OF'!$C$232</definedName>
    <definedName name="Salarié">Filtres!$B$9</definedName>
    <definedName name="salutation">[1]Note!$B$2:$B$6</definedName>
    <definedName name="secteur">[1]Note!$E$2:$E$25</definedName>
    <definedName name="SENC1">'Questionnaire OF'!$A$344:$C$348</definedName>
    <definedName name="SENC10">'Questionnaire OF'!$A$373:$C$375</definedName>
    <definedName name="SENC2">'Questionnaire OF'!$A$349:$C$351</definedName>
    <definedName name="SENC3">'Questionnaire OF'!$A$352:$C$354</definedName>
    <definedName name="SENC4">'Questionnaire OF'!$A$355:$C$357</definedName>
    <definedName name="SENC5">'Questionnaire OF'!$A$358:$C$360</definedName>
    <definedName name="SENC6">'Questionnaire OF'!$A$361:$C$363</definedName>
    <definedName name="SENC7">'Questionnaire OF'!$A$364:$C$366</definedName>
    <definedName name="SENC8">'Questionnaire OF'!$A$367:$C$369</definedName>
    <definedName name="SENC9">'Questionnaire OF'!$A$370:$C$372</definedName>
    <definedName name="Sexe">[1]Donnée!$C$7:$C$8</definedName>
    <definedName name="SexeClient">'Questionnaire OF'!$B$5</definedName>
    <definedName name="SexeConjoint">'Questionnaire OF'!$C$5</definedName>
    <definedName name="Situation">[1]Donnée!$A$7:$A$11</definedName>
    <definedName name="SituationVeuf">'Questionnaire OF'!$B$4</definedName>
    <definedName name="Société">Filtres!$B$8</definedName>
    <definedName name="SoldeCD_RPDBClient">'Questionnaire OF'!$B$96</definedName>
    <definedName name="SoldeCD_RPDBConjoint">'Questionnaire OF'!$C$96</definedName>
    <definedName name="SoldeCELIClient">'Questionnaire OF'!$B$16</definedName>
    <definedName name="SoldeCELIConjoint">'Questionnaire OF'!$C$16</definedName>
    <definedName name="SoldeCRIClient">'Questionnaire OF'!$B$21</definedName>
    <definedName name="SoldeCRIConjoint">'Questionnaire OF'!$C$21</definedName>
    <definedName name="SoldeFERRClient">'Questionnaire OF'!$B$19</definedName>
    <definedName name="SoldeFERRConjoint">'Questionnaire OF'!$C$19</definedName>
    <definedName name="SoldeFRVClient">'Questionnaire OF'!$B$20</definedName>
    <definedName name="SoldeFRVConjoint">'Questionnaire OF'!$C$20</definedName>
    <definedName name="SoldeNEClient">'Questionnaire OF'!$B$17</definedName>
    <definedName name="SoldeNEConjoint">'Questionnaire OF'!$C$17</definedName>
    <definedName name="SoldeREERClient">'Questionnaire OF'!$B$15</definedName>
    <definedName name="SoldeREERConjoint">'Questionnaire OF'!$C$15</definedName>
    <definedName name="StatutFumeurClient">'Questionnaire OF'!$B$10</definedName>
    <definedName name="StatutFumeurConjoint">'Questionnaire OF'!$C$10</definedName>
    <definedName name="TableauRPDB">'Questionnaire OF'!$A$97:$C$100</definedName>
    <definedName name="TableauRREouRRI">'Questionnaire OF'!$A$101:$C$104</definedName>
    <definedName name="TableauSalarié">'Questionnaire OF'!$A$68:$C$70</definedName>
    <definedName name="TableauTravailleurAutonome">'Questionnaire OF'!$A$105:$C$107</definedName>
    <definedName name="TravailleurAutonome">Filtres!$B$14</definedName>
    <definedName name="type">[1]Note!$C$2:$C$6</definedName>
    <definedName name="Validation">'Questionnaire OF'!$F$4</definedName>
    <definedName name="VenteCorpo">Filtres!$B$26</definedName>
    <definedName name="VenteCorpo1">'Questionnaire OF'!$A$921:$C$933</definedName>
    <definedName name="VenteCorpo10">'Questionnaire OF'!$A$1022:$C$1032</definedName>
    <definedName name="VenteCorpo2">'Questionnaire OF'!$A$934:$C$944</definedName>
    <definedName name="VenteCorpo3">'Questionnaire OF'!$A$945:$C$955</definedName>
    <definedName name="VenteCorpo4">'Questionnaire OF'!$A$956:$C$966</definedName>
    <definedName name="VenteCorpo5">'Questionnaire OF'!$A$967:$C$977</definedName>
    <definedName name="VenteCorpo6">'Questionnaire OF'!$A$978:$C$988</definedName>
    <definedName name="VenteCorpo7">'Questionnaire OF'!$A$989:$C$999</definedName>
    <definedName name="VenteCorpo8">'Questionnaire OF'!$A$1000:$C$1010</definedName>
    <definedName name="VenteCorpo9">'Questionnaire OF'!$A$1011:$C$1021</definedName>
    <definedName name="_xlnm.Print_Area" localSheetId="4">'Documents à remettre'!$A$1:$C$55</definedName>
    <definedName name="_xlnm.Print_Area" localSheetId="1">'Questionnaire OF'!$A$1:$C$1101</definedName>
    <definedName name="_xlnm.Print_Area" localSheetId="5">'Signature conseiller'!$A$1:$J$5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0" i="16" l="1"/>
  <c r="C298" i="19"/>
  <c r="C18" i="8"/>
  <c r="B38" i="8"/>
  <c r="C74" i="8"/>
  <c r="B88" i="8"/>
  <c r="B75" i="8"/>
  <c r="C75" i="8"/>
  <c r="C88" i="8"/>
  <c r="B94" i="8"/>
  <c r="C81" i="8"/>
  <c r="B81" i="8"/>
  <c r="C107" i="8"/>
  <c r="B107" i="8"/>
  <c r="B379" i="8"/>
  <c r="B393" i="8"/>
  <c r="B678" i="8"/>
  <c r="B676" i="8"/>
  <c r="B677" i="8"/>
  <c r="B82" i="8"/>
  <c r="B99" i="8"/>
  <c r="C99" i="8"/>
  <c r="B505" i="8"/>
  <c r="B491" i="8"/>
  <c r="B477" i="8"/>
  <c r="B463" i="8"/>
  <c r="B449" i="8"/>
  <c r="B435" i="8"/>
  <c r="B421" i="8"/>
  <c r="B407" i="8"/>
  <c r="C62" i="19"/>
  <c r="A35" i="8" s="1"/>
  <c r="F278" i="8"/>
  <c r="F277" i="8"/>
  <c r="F276" i="8"/>
  <c r="F275" i="8"/>
  <c r="F274" i="8"/>
  <c r="F273" i="8"/>
  <c r="F272" i="8"/>
  <c r="F271" i="8"/>
  <c r="F270" i="8"/>
  <c r="F269" i="8"/>
  <c r="F268" i="8"/>
  <c r="F267" i="8"/>
  <c r="F266" i="8"/>
  <c r="F265" i="8"/>
  <c r="F264" i="8"/>
  <c r="F263" i="8"/>
  <c r="F262" i="8"/>
  <c r="F261" i="8"/>
  <c r="F260" i="8"/>
  <c r="F259" i="8"/>
  <c r="F258" i="8"/>
  <c r="F257" i="8"/>
  <c r="F256" i="8"/>
  <c r="F255" i="8"/>
  <c r="F254" i="8"/>
  <c r="B1029" i="8"/>
  <c r="B1028" i="8"/>
  <c r="B1027" i="8"/>
  <c r="B1018" i="8"/>
  <c r="B1017" i="8"/>
  <c r="B1016" i="8"/>
  <c r="B1007" i="8"/>
  <c r="B1006" i="8"/>
  <c r="B1005" i="8"/>
  <c r="B996" i="8"/>
  <c r="B995" i="8"/>
  <c r="B994" i="8"/>
  <c r="B985" i="8"/>
  <c r="B984" i="8"/>
  <c r="B983" i="8"/>
  <c r="B974" i="8"/>
  <c r="B973" i="8"/>
  <c r="B972" i="8"/>
  <c r="B963" i="8"/>
  <c r="B962" i="8"/>
  <c r="B961" i="8"/>
  <c r="B952" i="8"/>
  <c r="B951" i="8"/>
  <c r="B950" i="8"/>
  <c r="C216" i="19"/>
  <c r="A945" i="8" s="1"/>
  <c r="C217" i="19"/>
  <c r="A956" i="8" s="1"/>
  <c r="C218" i="19"/>
  <c r="A967" i="8" s="1"/>
  <c r="C219" i="19"/>
  <c r="A978" i="8" s="1"/>
  <c r="C220" i="19"/>
  <c r="A989" i="8" s="1"/>
  <c r="C221" i="19"/>
  <c r="A1000" i="8" s="1"/>
  <c r="C222" i="19"/>
  <c r="A1011" i="8" s="1"/>
  <c r="C223" i="19"/>
  <c r="A1022" i="8" s="1"/>
  <c r="B67" i="8"/>
  <c r="B66" i="8"/>
  <c r="B65" i="8"/>
  <c r="B57" i="8"/>
  <c r="B56" i="8"/>
  <c r="B58" i="8"/>
  <c r="B49" i="8"/>
  <c r="B48" i="8"/>
  <c r="B47" i="8"/>
  <c r="B17" i="8"/>
  <c r="B21" i="8"/>
  <c r="B16" i="8"/>
  <c r="B15" i="8"/>
  <c r="D6" i="8"/>
  <c r="E6" i="8"/>
  <c r="F208" i="8"/>
  <c r="F207" i="8"/>
  <c r="F206" i="8"/>
  <c r="F205" i="8"/>
  <c r="F204" i="8"/>
  <c r="F203" i="8"/>
  <c r="F202" i="8"/>
  <c r="F201" i="8"/>
  <c r="F200" i="8"/>
  <c r="F199" i="8"/>
  <c r="F217" i="8"/>
  <c r="F218" i="8"/>
  <c r="F219" i="8"/>
  <c r="F220" i="8"/>
  <c r="F221" i="8"/>
  <c r="F222" i="8"/>
  <c r="F223" i="8"/>
  <c r="F224" i="8"/>
  <c r="F225" i="8"/>
  <c r="F226" i="8"/>
  <c r="F198" i="8"/>
  <c r="F197" i="8"/>
  <c r="F196" i="8"/>
  <c r="F195" i="8"/>
  <c r="F194" i="8"/>
  <c r="B40" i="8" l="1"/>
  <c r="B39" i="8"/>
  <c r="A53" i="8"/>
  <c r="A44" i="8"/>
  <c r="A62" i="8"/>
  <c r="G217" i="8" a="1"/>
  <c r="G217" i="8" s="1"/>
  <c r="G269" i="8" a="1"/>
  <c r="G269" i="8" s="1"/>
  <c r="G257" i="8" a="1"/>
  <c r="G257" i="8" s="1"/>
  <c r="G268" i="8" a="1"/>
  <c r="G268" i="8" s="1"/>
  <c r="G258" i="8" a="1"/>
  <c r="G258" i="8" s="1"/>
  <c r="G261" i="8" a="1"/>
  <c r="G261" i="8" s="1"/>
  <c r="G273" i="8" a="1"/>
  <c r="G273" i="8" s="1"/>
  <c r="G270" i="8" a="1"/>
  <c r="G270" i="8" s="1"/>
  <c r="G259" i="8" a="1"/>
  <c r="G259" i="8" s="1"/>
  <c r="G267" i="8" a="1"/>
  <c r="G267" i="8" s="1"/>
  <c r="G265" i="8" a="1"/>
  <c r="G265" i="8" s="1"/>
  <c r="G277" i="8" a="1"/>
  <c r="G277" i="8" s="1"/>
  <c r="G264" i="8" a="1"/>
  <c r="G264" i="8" s="1"/>
  <c r="G254" i="8" a="1"/>
  <c r="G254" i="8" s="1"/>
  <c r="G275" i="8" a="1"/>
  <c r="G275" i="8" s="1"/>
  <c r="G263" i="8" a="1"/>
  <c r="G263" i="8" s="1"/>
  <c r="G256" i="8" a="1"/>
  <c r="G256" i="8" s="1"/>
  <c r="G255" i="8" a="1"/>
  <c r="G255" i="8" s="1"/>
  <c r="G278" i="8" a="1"/>
  <c r="G278" i="8" s="1"/>
  <c r="G272" i="8" a="1"/>
  <c r="G272" i="8" s="1"/>
  <c r="G262" i="8" a="1"/>
  <c r="G262" i="8" s="1"/>
  <c r="G276" i="8" a="1"/>
  <c r="G276" i="8" s="1"/>
  <c r="G266" i="8" a="1"/>
  <c r="G266" i="8" s="1"/>
  <c r="G271" i="8" a="1"/>
  <c r="G271" i="8" s="1"/>
  <c r="G260" i="8" a="1"/>
  <c r="G260" i="8" s="1"/>
  <c r="G274" i="8" a="1"/>
  <c r="G274" i="8" s="1"/>
  <c r="G224" i="8" a="1"/>
  <c r="G224" i="8" s="1"/>
  <c r="G222" i="8" a="1"/>
  <c r="G222" i="8" s="1"/>
  <c r="G223" i="8" a="1"/>
  <c r="G223" i="8" s="1"/>
  <c r="G221" i="8" a="1"/>
  <c r="G221" i="8" s="1"/>
  <c r="G226" i="8" a="1"/>
  <c r="G226" i="8" s="1"/>
  <c r="G220" i="8" a="1"/>
  <c r="G220" i="8" s="1"/>
  <c r="G219" i="8" a="1"/>
  <c r="G219" i="8" s="1"/>
  <c r="G225" i="8" a="1"/>
  <c r="G225" i="8" s="1"/>
  <c r="G218" i="8" a="1"/>
  <c r="G218" i="8" s="1"/>
  <c r="D342" i="8"/>
  <c r="D343" i="8"/>
  <c r="D341" i="8"/>
  <c r="D338" i="8"/>
  <c r="D339" i="8"/>
  <c r="D337" i="8"/>
  <c r="D334" i="8"/>
  <c r="D335" i="8"/>
  <c r="D333" i="8"/>
  <c r="D330" i="8"/>
  <c r="D331" i="8"/>
  <c r="D329" i="8"/>
  <c r="D326" i="8"/>
  <c r="D327" i="8"/>
  <c r="D325" i="8"/>
  <c r="D322" i="8"/>
  <c r="D323" i="8"/>
  <c r="D321" i="8"/>
  <c r="D318" i="8"/>
  <c r="D319" i="8"/>
  <c r="D317" i="8"/>
  <c r="D313" i="8"/>
  <c r="D314" i="8"/>
  <c r="D315" i="8"/>
  <c r="C125" i="19"/>
  <c r="A312" i="8" s="1"/>
  <c r="C126" i="19"/>
  <c r="A316" i="8" s="1"/>
  <c r="C127" i="19"/>
  <c r="A320" i="8" s="1"/>
  <c r="C128" i="19"/>
  <c r="A324" i="8" s="1"/>
  <c r="C129" i="19"/>
  <c r="A328" i="8" s="1"/>
  <c r="C130" i="19"/>
  <c r="A332" i="8" s="1"/>
  <c r="C131" i="19"/>
  <c r="A336" i="8" s="1"/>
  <c r="C132" i="19"/>
  <c r="A340" i="8" s="1"/>
  <c r="D294" i="8"/>
  <c r="D295" i="8"/>
  <c r="D296" i="8"/>
  <c r="D297" i="8"/>
  <c r="D300" i="8"/>
  <c r="D293" i="8"/>
  <c r="D291" i="8"/>
  <c r="D282" i="8"/>
  <c r="D283" i="8"/>
  <c r="D284" i="8"/>
  <c r="D285" i="8"/>
  <c r="D288" i="8"/>
  <c r="D281" i="8"/>
  <c r="D279" i="8"/>
  <c r="D270" i="8"/>
  <c r="D271" i="8"/>
  <c r="D272" i="8"/>
  <c r="D273" i="8"/>
  <c r="D276" i="8"/>
  <c r="D269" i="8"/>
  <c r="D267" i="8"/>
  <c r="D258" i="8"/>
  <c r="D259" i="8"/>
  <c r="D260" i="8"/>
  <c r="D261" i="8"/>
  <c r="D264" i="8"/>
  <c r="D257" i="8"/>
  <c r="D255" i="8"/>
  <c r="D246" i="8"/>
  <c r="D247" i="8"/>
  <c r="D248" i="8"/>
  <c r="D249" i="8"/>
  <c r="D252" i="8"/>
  <c r="D245" i="8"/>
  <c r="D243" i="8"/>
  <c r="D231" i="8"/>
  <c r="B301" i="8"/>
  <c r="D301" i="8" s="1"/>
  <c r="B299" i="8"/>
  <c r="D299" i="8" s="1"/>
  <c r="B298" i="8"/>
  <c r="D298" i="8" s="1"/>
  <c r="B289" i="8"/>
  <c r="D289" i="8" s="1"/>
  <c r="B287" i="8"/>
  <c r="D287" i="8" s="1"/>
  <c r="B286" i="8"/>
  <c r="D286" i="8" s="1"/>
  <c r="B277" i="8"/>
  <c r="D277" i="8" s="1"/>
  <c r="B275" i="8"/>
  <c r="D275" i="8" s="1"/>
  <c r="B274" i="8"/>
  <c r="D274" i="8" s="1"/>
  <c r="C268" i="8"/>
  <c r="B268" i="8"/>
  <c r="B265" i="8"/>
  <c r="D265" i="8" s="1"/>
  <c r="B263" i="8"/>
  <c r="D263" i="8" s="1"/>
  <c r="B262" i="8"/>
  <c r="D262" i="8" s="1"/>
  <c r="C256" i="8"/>
  <c r="B256" i="8"/>
  <c r="B253" i="8"/>
  <c r="D253" i="8" s="1"/>
  <c r="B251" i="8"/>
  <c r="D251" i="8" s="1"/>
  <c r="B250" i="8"/>
  <c r="D250" i="8" s="1"/>
  <c r="C244" i="8"/>
  <c r="B244" i="8"/>
  <c r="C120" i="19"/>
  <c r="A264" i="8" s="1"/>
  <c r="C110" i="19"/>
  <c r="A242" i="8" s="1"/>
  <c r="C111" i="19"/>
  <c r="A254" i="8" s="1"/>
  <c r="C112" i="19"/>
  <c r="A266" i="8" s="1"/>
  <c r="C113" i="19"/>
  <c r="A278" i="8" s="1"/>
  <c r="C114" i="19"/>
  <c r="A290" i="8" s="1"/>
  <c r="A216" i="8" l="1"/>
  <c r="A300" i="8"/>
  <c r="A276" i="8"/>
  <c r="D244" i="8"/>
  <c r="A288" i="8"/>
  <c r="A228" i="8"/>
  <c r="A240" i="8"/>
  <c r="A252" i="8"/>
  <c r="D268" i="8"/>
  <c r="D256" i="8"/>
  <c r="D375" i="8"/>
  <c r="D374" i="8"/>
  <c r="D372" i="8"/>
  <c r="D371" i="8"/>
  <c r="D369" i="8"/>
  <c r="D368" i="8"/>
  <c r="D366" i="8"/>
  <c r="D365" i="8"/>
  <c r="D363" i="8"/>
  <c r="D362" i="8"/>
  <c r="D360" i="8"/>
  <c r="D359" i="8"/>
  <c r="D357" i="8"/>
  <c r="D356" i="8"/>
  <c r="D354" i="8"/>
  <c r="D351" i="8"/>
  <c r="D353" i="8"/>
  <c r="D350" i="8"/>
  <c r="C139" i="19"/>
  <c r="A352" i="8" s="1"/>
  <c r="C140" i="19"/>
  <c r="A355" i="8" s="1"/>
  <c r="C141" i="19"/>
  <c r="A358" i="8" s="1"/>
  <c r="C142" i="19"/>
  <c r="A361" i="8" s="1"/>
  <c r="C143" i="19"/>
  <c r="A364" i="8" s="1"/>
  <c r="C144" i="19"/>
  <c r="A367" i="8" s="1"/>
  <c r="C145" i="19"/>
  <c r="A370" i="8" s="1"/>
  <c r="C146" i="19"/>
  <c r="A373" i="8" s="1"/>
  <c r="D871" i="8"/>
  <c r="D872" i="8"/>
  <c r="D873" i="8"/>
  <c r="D874" i="8"/>
  <c r="D875" i="8"/>
  <c r="D876" i="8"/>
  <c r="D877" i="8"/>
  <c r="D878" i="8"/>
  <c r="D879" i="8"/>
  <c r="D880" i="8"/>
  <c r="D881" i="8"/>
  <c r="D870" i="8"/>
  <c r="D884" i="8"/>
  <c r="D885" i="8"/>
  <c r="D886" i="8"/>
  <c r="D887" i="8"/>
  <c r="D888" i="8"/>
  <c r="D889" i="8"/>
  <c r="D890" i="8"/>
  <c r="D891" i="8"/>
  <c r="D892" i="8"/>
  <c r="D893" i="8"/>
  <c r="D894" i="8"/>
  <c r="D883" i="8"/>
  <c r="D897" i="8"/>
  <c r="D898" i="8"/>
  <c r="D899" i="8"/>
  <c r="D900" i="8"/>
  <c r="D901" i="8"/>
  <c r="D902" i="8"/>
  <c r="D903" i="8"/>
  <c r="D904" i="8"/>
  <c r="D905" i="8"/>
  <c r="D906" i="8"/>
  <c r="D907" i="8"/>
  <c r="D896" i="8"/>
  <c r="D910" i="8"/>
  <c r="D911" i="8"/>
  <c r="D912" i="8"/>
  <c r="D913" i="8"/>
  <c r="D914" i="8"/>
  <c r="D915" i="8"/>
  <c r="D916" i="8"/>
  <c r="D917" i="8"/>
  <c r="D918" i="8"/>
  <c r="D919" i="8"/>
  <c r="D920" i="8"/>
  <c r="D909" i="8"/>
  <c r="D858" i="8"/>
  <c r="D859" i="8"/>
  <c r="D860" i="8"/>
  <c r="D861" i="8"/>
  <c r="D862" i="8"/>
  <c r="D863" i="8"/>
  <c r="D864" i="8"/>
  <c r="D865" i="8"/>
  <c r="D866" i="8"/>
  <c r="D867" i="8"/>
  <c r="D868" i="8"/>
  <c r="D857" i="8"/>
  <c r="D846" i="8"/>
  <c r="D847" i="8"/>
  <c r="D845" i="8"/>
  <c r="D836" i="8"/>
  <c r="D837" i="8"/>
  <c r="D835" i="8"/>
  <c r="D826" i="8"/>
  <c r="D827" i="8"/>
  <c r="D825" i="8"/>
  <c r="D816" i="8"/>
  <c r="D817" i="8"/>
  <c r="D815" i="8"/>
  <c r="D806" i="8"/>
  <c r="D807" i="8"/>
  <c r="D805" i="8"/>
  <c r="D796" i="8"/>
  <c r="D797" i="8"/>
  <c r="D795" i="8"/>
  <c r="D786" i="8"/>
  <c r="D787" i="8"/>
  <c r="D785" i="8"/>
  <c r="D776" i="8"/>
  <c r="D777" i="8"/>
  <c r="D775" i="8"/>
  <c r="D766" i="8"/>
  <c r="D767" i="8"/>
  <c r="D765" i="8"/>
  <c r="D756" i="8"/>
  <c r="D757" i="8"/>
  <c r="D755" i="8"/>
  <c r="D553" i="8"/>
  <c r="D407" i="8"/>
  <c r="D421" i="8"/>
  <c r="D449" i="8"/>
  <c r="D463" i="8"/>
  <c r="D477" i="8"/>
  <c r="D480" i="8"/>
  <c r="D491" i="8"/>
  <c r="D492" i="8"/>
  <c r="D494" i="8"/>
  <c r="D435" i="8"/>
  <c r="D465" i="8"/>
  <c r="B423" i="8"/>
  <c r="C423" i="8"/>
  <c r="D393" i="8"/>
  <c r="D396" i="8"/>
  <c r="D399" i="8"/>
  <c r="D401" i="8"/>
  <c r="D402" i="8"/>
  <c r="D403" i="8"/>
  <c r="D404" i="8"/>
  <c r="C381" i="8"/>
  <c r="B381" i="8"/>
  <c r="D379" i="8"/>
  <c r="D382" i="8"/>
  <c r="B391" i="8"/>
  <c r="D391" i="8" s="1"/>
  <c r="D66" i="8"/>
  <c r="D65" i="8"/>
  <c r="D64" i="8"/>
  <c r="D63" i="8"/>
  <c r="D61" i="8"/>
  <c r="D60" i="8"/>
  <c r="D385" i="8"/>
  <c r="D387" i="8"/>
  <c r="D388" i="8"/>
  <c r="D389" i="8"/>
  <c r="D390" i="8"/>
  <c r="D51" i="8"/>
  <c r="D52" i="8"/>
  <c r="D54" i="8"/>
  <c r="D55" i="8"/>
  <c r="D56" i="8"/>
  <c r="D57" i="8"/>
  <c r="D42" i="8"/>
  <c r="D43" i="8"/>
  <c r="D45" i="8"/>
  <c r="D46" i="8"/>
  <c r="D47" i="8"/>
  <c r="D48" i="8"/>
  <c r="D33" i="8"/>
  <c r="D34" i="8"/>
  <c r="D36" i="8"/>
  <c r="D37" i="8"/>
  <c r="D38" i="8"/>
  <c r="D39" i="8"/>
  <c r="D21" i="8"/>
  <c r="D22" i="8"/>
  <c r="D23" i="8"/>
  <c r="D24" i="8"/>
  <c r="D25" i="8"/>
  <c r="D26" i="8"/>
  <c r="D3" i="8"/>
  <c r="D4" i="8"/>
  <c r="D5" i="8"/>
  <c r="D9" i="8"/>
  <c r="D10" i="8"/>
  <c r="D11" i="8"/>
  <c r="D12" i="8"/>
  <c r="D13" i="8"/>
  <c r="D14" i="8"/>
  <c r="E4" i="8"/>
  <c r="E5" i="8"/>
  <c r="E9" i="8"/>
  <c r="E10" i="8"/>
  <c r="E13" i="8"/>
  <c r="E14" i="8"/>
  <c r="E23" i="8"/>
  <c r="E24" i="8"/>
  <c r="E25" i="8"/>
  <c r="E26" i="8"/>
  <c r="E27" i="8"/>
  <c r="E28" i="8"/>
  <c r="E29" i="8"/>
  <c r="E22" i="8"/>
  <c r="D28" i="8"/>
  <c r="D29" i="8"/>
  <c r="D27" i="8"/>
  <c r="C21" i="8"/>
  <c r="D423" i="8" l="1"/>
  <c r="D381" i="8"/>
  <c r="B669" i="8"/>
  <c r="B668" i="8"/>
  <c r="B666" i="8"/>
  <c r="B664" i="8"/>
  <c r="B662" i="8"/>
  <c r="B661" i="8"/>
  <c r="B654" i="8"/>
  <c r="B653" i="8"/>
  <c r="B651" i="8"/>
  <c r="B649" i="8"/>
  <c r="B647" i="8"/>
  <c r="B646" i="8"/>
  <c r="B639" i="8"/>
  <c r="B638" i="8"/>
  <c r="B636" i="8"/>
  <c r="B634" i="8"/>
  <c r="B632" i="8"/>
  <c r="B631" i="8"/>
  <c r="B624" i="8"/>
  <c r="B623" i="8"/>
  <c r="B621" i="8"/>
  <c r="B619" i="8"/>
  <c r="B617" i="8"/>
  <c r="B616" i="8"/>
  <c r="B609" i="8"/>
  <c r="B608" i="8"/>
  <c r="B606" i="8"/>
  <c r="B604" i="8"/>
  <c r="B602" i="8"/>
  <c r="B601" i="8"/>
  <c r="B594" i="8"/>
  <c r="B593" i="8"/>
  <c r="B591" i="8"/>
  <c r="B589" i="8"/>
  <c r="B587" i="8"/>
  <c r="B586" i="8"/>
  <c r="B579" i="8"/>
  <c r="B578" i="8"/>
  <c r="B576" i="8"/>
  <c r="B574" i="8"/>
  <c r="B572" i="8"/>
  <c r="B571" i="8"/>
  <c r="B564" i="8"/>
  <c r="B563" i="8"/>
  <c r="B561" i="8"/>
  <c r="B559" i="8"/>
  <c r="B557" i="8"/>
  <c r="B556" i="8"/>
  <c r="B549" i="8"/>
  <c r="B548" i="8"/>
  <c r="B546" i="8"/>
  <c r="B544" i="8"/>
  <c r="B542" i="8"/>
  <c r="B541" i="8"/>
  <c r="C328" i="19"/>
  <c r="A523" i="8" s="1"/>
  <c r="D410" i="8"/>
  <c r="D424" i="8"/>
  <c r="D438" i="8"/>
  <c r="D452" i="8"/>
  <c r="D466" i="8"/>
  <c r="B517" i="8"/>
  <c r="B512" i="8"/>
  <c r="B510" i="8"/>
  <c r="B509" i="8"/>
  <c r="C507" i="8"/>
  <c r="B507" i="8"/>
  <c r="B506" i="8"/>
  <c r="B503" i="8"/>
  <c r="B498" i="8"/>
  <c r="B496" i="8"/>
  <c r="B495" i="8"/>
  <c r="D495" i="8" s="1"/>
  <c r="C493" i="8"/>
  <c r="B493" i="8"/>
  <c r="B489" i="8"/>
  <c r="B484" i="8"/>
  <c r="B482" i="8"/>
  <c r="B481" i="8"/>
  <c r="D481" i="8" s="1"/>
  <c r="C479" i="8"/>
  <c r="B479" i="8"/>
  <c r="B478" i="8"/>
  <c r="D478" i="8" s="1"/>
  <c r="B475" i="8"/>
  <c r="B470" i="8"/>
  <c r="B468" i="8"/>
  <c r="B467" i="8"/>
  <c r="D467" i="8" s="1"/>
  <c r="B464" i="8"/>
  <c r="D464" i="8" s="1"/>
  <c r="B461" i="8"/>
  <c r="B456" i="8"/>
  <c r="B454" i="8"/>
  <c r="B453" i="8"/>
  <c r="D453" i="8" s="1"/>
  <c r="C451" i="8"/>
  <c r="B451" i="8"/>
  <c r="B450" i="8"/>
  <c r="D450" i="8" s="1"/>
  <c r="B447" i="8"/>
  <c r="B442" i="8"/>
  <c r="B440" i="8"/>
  <c r="B439" i="8"/>
  <c r="D439" i="8" s="1"/>
  <c r="C437" i="8"/>
  <c r="B437" i="8"/>
  <c r="B436" i="8"/>
  <c r="D436" i="8" s="1"/>
  <c r="B425" i="8"/>
  <c r="D425" i="8" s="1"/>
  <c r="B433" i="8"/>
  <c r="B428" i="8"/>
  <c r="B426" i="8"/>
  <c r="B422" i="8"/>
  <c r="D422" i="8" s="1"/>
  <c r="B419" i="8"/>
  <c r="B414" i="8"/>
  <c r="B412" i="8"/>
  <c r="B411" i="8"/>
  <c r="D411" i="8" s="1"/>
  <c r="C409" i="8"/>
  <c r="B409" i="8"/>
  <c r="B408" i="8"/>
  <c r="D408" i="8" s="1"/>
  <c r="B397" i="8"/>
  <c r="D397" i="8" s="1"/>
  <c r="B405" i="8"/>
  <c r="B400" i="8"/>
  <c r="D400" i="8" s="1"/>
  <c r="B398" i="8"/>
  <c r="D398" i="8" s="1"/>
  <c r="C395" i="8"/>
  <c r="B395" i="8"/>
  <c r="B394" i="8"/>
  <c r="D394" i="8" s="1"/>
  <c r="B383" i="8"/>
  <c r="D383" i="8" s="1"/>
  <c r="B380" i="8"/>
  <c r="D380" i="8" s="1"/>
  <c r="B384" i="8"/>
  <c r="D384" i="8" s="1"/>
  <c r="D67" i="8"/>
  <c r="D80" i="8"/>
  <c r="D86" i="8"/>
  <c r="D58" i="8"/>
  <c r="D49" i="8"/>
  <c r="D40" i="8"/>
  <c r="B20" i="8"/>
  <c r="D20" i="8" s="1"/>
  <c r="F182" i="8"/>
  <c r="F193" i="8"/>
  <c r="F192" i="8"/>
  <c r="F191" i="8"/>
  <c r="F190" i="8"/>
  <c r="F189" i="8"/>
  <c r="F188" i="8"/>
  <c r="F187" i="8"/>
  <c r="F186" i="8"/>
  <c r="F185" i="8"/>
  <c r="F184" i="8"/>
  <c r="D493" i="8" l="1"/>
  <c r="D479" i="8"/>
  <c r="D437" i="8"/>
  <c r="D507" i="8"/>
  <c r="D451" i="8"/>
  <c r="D409" i="8"/>
  <c r="D185" i="8"/>
  <c r="F181" i="8"/>
  <c r="F183" i="8" s="1"/>
  <c r="G194" i="8" s="1" a="1"/>
  <c r="G194" i="8" s="1"/>
  <c r="G205" i="8" l="1" a="1"/>
  <c r="G205" i="8" s="1"/>
  <c r="G206" i="8" a="1"/>
  <c r="G206" i="8" s="1"/>
  <c r="G182" i="8" a="1"/>
  <c r="G182" i="8" s="1"/>
  <c r="G195" i="8" a="1"/>
  <c r="G195" i="8" s="1"/>
  <c r="G207" i="8" a="1"/>
  <c r="G207" i="8" s="1"/>
  <c r="G197" i="8" a="1"/>
  <c r="G197" i="8" s="1"/>
  <c r="G203" i="8" a="1"/>
  <c r="G203" i="8" s="1"/>
  <c r="G192" i="8" a="1"/>
  <c r="G192" i="8" s="1"/>
  <c r="G196" i="8" a="1"/>
  <c r="G196" i="8" s="1"/>
  <c r="G186" i="8" a="1"/>
  <c r="G186" i="8" s="1"/>
  <c r="G183" i="8" a="1"/>
  <c r="G183" i="8" s="1"/>
  <c r="G185" i="8" a="1"/>
  <c r="G185" i="8" s="1"/>
  <c r="G184" i="8" a="1"/>
  <c r="G184" i="8" s="1"/>
  <c r="G189" i="8" a="1"/>
  <c r="G189" i="8" s="1"/>
  <c r="G188" i="8" a="1"/>
  <c r="G188" i="8" s="1"/>
  <c r="G202" i="8" a="1"/>
  <c r="G202" i="8" s="1"/>
  <c r="G190" i="8" a="1"/>
  <c r="G190" i="8" s="1"/>
  <c r="G181" i="8" a="1"/>
  <c r="G181" i="8" s="1"/>
  <c r="G191" i="8" a="1"/>
  <c r="G191" i="8" s="1"/>
  <c r="G204" i="8" a="1"/>
  <c r="G204" i="8" s="1"/>
  <c r="G200" i="8" a="1"/>
  <c r="G200" i="8" s="1"/>
  <c r="G193" i="8" a="1"/>
  <c r="G193" i="8" s="1"/>
  <c r="G208" i="8" a="1"/>
  <c r="G208" i="8" s="1"/>
  <c r="G187" i="8" a="1"/>
  <c r="G187" i="8" s="1"/>
  <c r="G201" i="8" a="1"/>
  <c r="G201" i="8" s="1"/>
  <c r="G199" i="8" a="1"/>
  <c r="G199" i="8" s="1"/>
  <c r="G198" i="8" a="1"/>
  <c r="G198" i="8" s="1"/>
  <c r="A294" i="19"/>
  <c r="B283" i="19"/>
  <c r="A283" i="19"/>
  <c r="D1097" i="8" l="1"/>
  <c r="D1098" i="8"/>
  <c r="D1099" i="8"/>
  <c r="D1100" i="8"/>
  <c r="D1101" i="8"/>
  <c r="D1096" i="8"/>
  <c r="D1090" i="8"/>
  <c r="D1091" i="8"/>
  <c r="D1092" i="8"/>
  <c r="D1093" i="8"/>
  <c r="D1094" i="8"/>
  <c r="D1089" i="8"/>
  <c r="D1083" i="8"/>
  <c r="D1084" i="8"/>
  <c r="D1085" i="8"/>
  <c r="D1086" i="8"/>
  <c r="D1087" i="8"/>
  <c r="D1082" i="8"/>
  <c r="D1076" i="8"/>
  <c r="D1077" i="8"/>
  <c r="D1078" i="8"/>
  <c r="D1079" i="8"/>
  <c r="D1080" i="8"/>
  <c r="D1075" i="8"/>
  <c r="D1069" i="8"/>
  <c r="D1070" i="8"/>
  <c r="D1071" i="8"/>
  <c r="D1072" i="8"/>
  <c r="D1073" i="8"/>
  <c r="D1068" i="8"/>
  <c r="D1061" i="8"/>
  <c r="D1062" i="8"/>
  <c r="D1063" i="8"/>
  <c r="D1064" i="8"/>
  <c r="D1060" i="8"/>
  <c r="D1055" i="8"/>
  <c r="D1056" i="8"/>
  <c r="D1057" i="8"/>
  <c r="D1058" i="8"/>
  <c r="D1054" i="8"/>
  <c r="D1049" i="8"/>
  <c r="D1050" i="8"/>
  <c r="D1051" i="8"/>
  <c r="D1052" i="8"/>
  <c r="D1048" i="8"/>
  <c r="D1043" i="8"/>
  <c r="D1044" i="8"/>
  <c r="D1045" i="8"/>
  <c r="D1046" i="8"/>
  <c r="D1042" i="8"/>
  <c r="D1037" i="8"/>
  <c r="D1038" i="8"/>
  <c r="D1039" i="8"/>
  <c r="D1040" i="8"/>
  <c r="D1036" i="8"/>
  <c r="E849" i="8"/>
  <c r="E850" i="8"/>
  <c r="E851" i="8"/>
  <c r="E852" i="8"/>
  <c r="E853" i="8"/>
  <c r="E848" i="8"/>
  <c r="E843" i="8"/>
  <c r="D849" i="8"/>
  <c r="D850" i="8"/>
  <c r="D851" i="8"/>
  <c r="D852" i="8"/>
  <c r="D853" i="8"/>
  <c r="D848" i="8"/>
  <c r="D843" i="8"/>
  <c r="E839" i="8"/>
  <c r="E840" i="8"/>
  <c r="E841" i="8"/>
  <c r="E842" i="8"/>
  <c r="E838" i="8"/>
  <c r="E833" i="8"/>
  <c r="D839" i="8"/>
  <c r="D840" i="8"/>
  <c r="D841" i="8"/>
  <c r="D842" i="8"/>
  <c r="D838" i="8"/>
  <c r="D833" i="8"/>
  <c r="E829" i="8"/>
  <c r="E830" i="8"/>
  <c r="E831" i="8"/>
  <c r="E832" i="8"/>
  <c r="E828" i="8"/>
  <c r="E823" i="8"/>
  <c r="D829" i="8"/>
  <c r="D830" i="8"/>
  <c r="D831" i="8"/>
  <c r="D832" i="8"/>
  <c r="D828" i="8"/>
  <c r="D823" i="8"/>
  <c r="E819" i="8"/>
  <c r="E820" i="8"/>
  <c r="E821" i="8"/>
  <c r="E822" i="8"/>
  <c r="E818" i="8"/>
  <c r="E813" i="8"/>
  <c r="D819" i="8"/>
  <c r="D820" i="8"/>
  <c r="D821" i="8"/>
  <c r="D822" i="8"/>
  <c r="D818" i="8"/>
  <c r="D813" i="8"/>
  <c r="E809" i="8"/>
  <c r="E810" i="8"/>
  <c r="E811" i="8"/>
  <c r="E812" i="8"/>
  <c r="E808" i="8"/>
  <c r="E803" i="8"/>
  <c r="D809" i="8"/>
  <c r="D810" i="8"/>
  <c r="D811" i="8"/>
  <c r="D812" i="8"/>
  <c r="D808" i="8"/>
  <c r="D803" i="8"/>
  <c r="E799" i="8"/>
  <c r="E800" i="8"/>
  <c r="E801" i="8"/>
  <c r="E802" i="8"/>
  <c r="E798" i="8"/>
  <c r="E793" i="8"/>
  <c r="D799" i="8"/>
  <c r="D800" i="8"/>
  <c r="D801" i="8"/>
  <c r="D802" i="8"/>
  <c r="D798" i="8"/>
  <c r="D793" i="8"/>
  <c r="E789" i="8"/>
  <c r="E790" i="8"/>
  <c r="E791" i="8"/>
  <c r="E792" i="8"/>
  <c r="E788" i="8"/>
  <c r="E783" i="8"/>
  <c r="D789" i="8"/>
  <c r="D790" i="8"/>
  <c r="D791" i="8"/>
  <c r="D792" i="8"/>
  <c r="D788" i="8"/>
  <c r="D778" i="8"/>
  <c r="E759" i="8"/>
  <c r="E760" i="8"/>
  <c r="E761" i="8"/>
  <c r="E762" i="8"/>
  <c r="E763" i="8"/>
  <c r="E758" i="8"/>
  <c r="E768" i="8"/>
  <c r="E769" i="8"/>
  <c r="E770" i="8"/>
  <c r="E771" i="8"/>
  <c r="E772" i="8"/>
  <c r="E773" i="8"/>
  <c r="D759" i="8"/>
  <c r="D760" i="8"/>
  <c r="D761" i="8"/>
  <c r="D762" i="8"/>
  <c r="D763" i="8"/>
  <c r="D758" i="8"/>
  <c r="D768" i="8"/>
  <c r="E778" i="8"/>
  <c r="D769" i="8"/>
  <c r="D770" i="8"/>
  <c r="D771" i="8"/>
  <c r="D772" i="8"/>
  <c r="D773" i="8"/>
  <c r="E779" i="8"/>
  <c r="E780" i="8"/>
  <c r="E781" i="8"/>
  <c r="E782" i="8"/>
  <c r="D779" i="8"/>
  <c r="D780" i="8"/>
  <c r="D781" i="8"/>
  <c r="D782" i="8"/>
  <c r="D783" i="8"/>
  <c r="C252" i="19" l="1"/>
  <c r="F3" i="8" s="1"/>
  <c r="C253" i="19"/>
  <c r="G3" i="8" s="1"/>
  <c r="D413" i="8"/>
  <c r="D415" i="8"/>
  <c r="D416" i="8"/>
  <c r="D417" i="8"/>
  <c r="D418" i="8"/>
  <c r="D427" i="8"/>
  <c r="D429" i="8"/>
  <c r="D430" i="8"/>
  <c r="D431" i="8"/>
  <c r="D432" i="8"/>
  <c r="D441" i="8"/>
  <c r="D443" i="8"/>
  <c r="D444" i="8"/>
  <c r="D445" i="8"/>
  <c r="D446" i="8"/>
  <c r="D455" i="8"/>
  <c r="D457" i="8"/>
  <c r="D458" i="8"/>
  <c r="D459" i="8"/>
  <c r="D460" i="8"/>
  <c r="D469" i="8"/>
  <c r="D471" i="8"/>
  <c r="D472" i="8"/>
  <c r="D473" i="8"/>
  <c r="D474" i="8"/>
  <c r="D483" i="8"/>
  <c r="D485" i="8"/>
  <c r="D486" i="8"/>
  <c r="D487" i="8"/>
  <c r="D488" i="8"/>
  <c r="D497" i="8"/>
  <c r="D499" i="8"/>
  <c r="D500" i="8"/>
  <c r="D501" i="8"/>
  <c r="D502" i="8"/>
  <c r="D503" i="8"/>
  <c r="D498" i="8"/>
  <c r="D496" i="8"/>
  <c r="D489" i="8"/>
  <c r="D484" i="8"/>
  <c r="D482" i="8"/>
  <c r="D475" i="8"/>
  <c r="D470" i="8"/>
  <c r="D468" i="8"/>
  <c r="D461" i="8"/>
  <c r="D456" i="8"/>
  <c r="D454" i="8"/>
  <c r="D447" i="8"/>
  <c r="D442" i="8"/>
  <c r="D440" i="8"/>
  <c r="D433" i="8"/>
  <c r="D428" i="8"/>
  <c r="D426" i="8"/>
  <c r="D419" i="8"/>
  <c r="D414" i="8"/>
  <c r="D412" i="8"/>
  <c r="D405" i="8"/>
  <c r="B386" i="8"/>
  <c r="D386" i="8" s="1"/>
  <c r="D100" i="8"/>
  <c r="D99" i="8"/>
  <c r="D103" i="8"/>
  <c r="D73" i="8"/>
  <c r="D93" i="8"/>
  <c r="C104" i="8"/>
  <c r="B104" i="8"/>
  <c r="B95" i="8"/>
  <c r="C95" i="8"/>
  <c r="C82" i="8"/>
  <c r="C83" i="8"/>
  <c r="C96" i="8"/>
  <c r="C94" i="8"/>
  <c r="B96" i="8"/>
  <c r="B83" i="8"/>
  <c r="B18" i="8"/>
  <c r="D18" i="8" s="1"/>
  <c r="C16" i="8"/>
  <c r="E16" i="8" s="1"/>
  <c r="C17" i="8"/>
  <c r="E17" i="8" s="1"/>
  <c r="E18" i="8"/>
  <c r="C19" i="8"/>
  <c r="E19" i="8" s="1"/>
  <c r="C20" i="8"/>
  <c r="E20" i="8" s="1"/>
  <c r="E21" i="8"/>
  <c r="C15" i="8"/>
  <c r="E15" i="8" s="1"/>
  <c r="D15" i="8"/>
  <c r="D16" i="8"/>
  <c r="D17" i="8"/>
  <c r="B19" i="8"/>
  <c r="D19" i="8" s="1"/>
  <c r="B120" i="8"/>
  <c r="D1" i="22" a="1"/>
  <c r="D1" i="22" s="1"/>
  <c r="A10" i="22" a="1"/>
  <c r="A10" i="22" s="1"/>
  <c r="A12" i="22"/>
  <c r="A11" i="22"/>
  <c r="A9" i="22" a="1"/>
  <c r="A9" i="22" s="1"/>
  <c r="A8" i="22"/>
  <c r="A7" i="22"/>
  <c r="A6" i="22"/>
  <c r="A5" i="22"/>
  <c r="A4" i="22"/>
  <c r="A3" i="22"/>
  <c r="A2" i="22"/>
  <c r="A1" i="22"/>
  <c r="D157" i="8"/>
  <c r="D143" i="8"/>
  <c r="D129" i="8"/>
  <c r="D115" i="8"/>
  <c r="D171" i="8"/>
  <c r="D395" i="8"/>
  <c r="D658" i="8"/>
  <c r="D643" i="8"/>
  <c r="D628" i="8"/>
  <c r="D613" i="8"/>
  <c r="D598" i="8"/>
  <c r="D583" i="8"/>
  <c r="D568" i="8"/>
  <c r="D538" i="8"/>
  <c r="D523" i="8"/>
  <c r="B190" i="8"/>
  <c r="B177" i="8"/>
  <c r="B178" i="8"/>
  <c r="B928" i="8"/>
  <c r="D83" i="8" l="1"/>
  <c r="D94" i="8"/>
  <c r="D81" i="8"/>
  <c r="D95" i="8"/>
  <c r="D96" i="8"/>
  <c r="D82" i="8"/>
  <c r="D104" i="8"/>
  <c r="A613" i="8" l="1"/>
  <c r="A658" i="8"/>
  <c r="A598" i="8"/>
  <c r="A538" i="8"/>
  <c r="A583" i="8"/>
  <c r="A643" i="8"/>
  <c r="A628" i="8"/>
  <c r="A568" i="8"/>
  <c r="A553" i="8"/>
  <c r="B292" i="8" l="1"/>
  <c r="B749" i="8"/>
  <c r="D749" i="8" s="1"/>
  <c r="D925" i="8"/>
  <c r="D926" i="8"/>
  <c r="D927" i="8"/>
  <c r="D931" i="8"/>
  <c r="D932" i="8"/>
  <c r="D933" i="8"/>
  <c r="D936" i="8"/>
  <c r="D937" i="8"/>
  <c r="D938" i="8"/>
  <c r="D942" i="8"/>
  <c r="D943" i="8"/>
  <c r="D944" i="8"/>
  <c r="D751" i="8"/>
  <c r="D745" i="8"/>
  <c r="D743" i="8"/>
  <c r="D737" i="8"/>
  <c r="D735" i="8"/>
  <c r="D729" i="8"/>
  <c r="D727" i="8"/>
  <c r="D721" i="8"/>
  <c r="D719" i="8"/>
  <c r="D713" i="8"/>
  <c r="D711" i="8"/>
  <c r="D705" i="8"/>
  <c r="D703" i="8"/>
  <c r="D697" i="8"/>
  <c r="D695" i="8"/>
  <c r="D689" i="8"/>
  <c r="D687" i="8"/>
  <c r="D681" i="8"/>
  <c r="D676" i="8"/>
  <c r="D678" i="8"/>
  <c r="D679" i="8"/>
  <c r="D673" i="8"/>
  <c r="D505" i="8"/>
  <c r="D506" i="8"/>
  <c r="D508" i="8"/>
  <c r="D509" i="8"/>
  <c r="D510" i="8"/>
  <c r="D511" i="8"/>
  <c r="D512" i="8"/>
  <c r="D513" i="8"/>
  <c r="D514" i="8"/>
  <c r="D515" i="8"/>
  <c r="D516" i="8"/>
  <c r="D657" i="8"/>
  <c r="D659" i="8"/>
  <c r="D660" i="8"/>
  <c r="D661" i="8"/>
  <c r="D663" i="8"/>
  <c r="D667" i="8"/>
  <c r="D656" i="8"/>
  <c r="D642" i="8"/>
  <c r="D644" i="8"/>
  <c r="D645" i="8"/>
  <c r="D646" i="8"/>
  <c r="D648" i="8"/>
  <c r="D652" i="8"/>
  <c r="D641" i="8"/>
  <c r="D627" i="8"/>
  <c r="D629" i="8"/>
  <c r="D630" i="8"/>
  <c r="D631" i="8"/>
  <c r="D633" i="8"/>
  <c r="D637" i="8"/>
  <c r="D626" i="8"/>
  <c r="D612" i="8"/>
  <c r="D614" i="8"/>
  <c r="D615" i="8"/>
  <c r="D616" i="8"/>
  <c r="D618" i="8"/>
  <c r="D622" i="8"/>
  <c r="D611" i="8"/>
  <c r="D597" i="8"/>
  <c r="D599" i="8"/>
  <c r="D600" i="8"/>
  <c r="D601" i="8"/>
  <c r="D603" i="8"/>
  <c r="D607" i="8"/>
  <c r="D596" i="8"/>
  <c r="D582" i="8"/>
  <c r="D584" i="8"/>
  <c r="D585" i="8"/>
  <c r="D586" i="8"/>
  <c r="D588" i="8"/>
  <c r="D592" i="8"/>
  <c r="D581" i="8"/>
  <c r="D567" i="8"/>
  <c r="D569" i="8"/>
  <c r="D570" i="8"/>
  <c r="D571" i="8"/>
  <c r="D573" i="8"/>
  <c r="D577" i="8"/>
  <c r="D566" i="8"/>
  <c r="D552" i="8"/>
  <c r="D554" i="8"/>
  <c r="D555" i="8"/>
  <c r="D556" i="8"/>
  <c r="D558" i="8"/>
  <c r="D562" i="8"/>
  <c r="D551" i="8"/>
  <c r="D537" i="8"/>
  <c r="D539" i="8"/>
  <c r="D540" i="8"/>
  <c r="D541" i="8"/>
  <c r="D543" i="8"/>
  <c r="D547" i="8"/>
  <c r="D536" i="8"/>
  <c r="D521" i="8"/>
  <c r="D522" i="8"/>
  <c r="D524" i="8"/>
  <c r="D525" i="8"/>
  <c r="D528" i="8"/>
  <c r="D532" i="8"/>
  <c r="D183" i="8"/>
  <c r="D186" i="8"/>
  <c r="D187" i="8"/>
  <c r="D188" i="8"/>
  <c r="D189" i="8"/>
  <c r="D192" i="8"/>
  <c r="D195" i="8"/>
  <c r="D197" i="8"/>
  <c r="D198" i="8"/>
  <c r="D199" i="8"/>
  <c r="D200" i="8"/>
  <c r="D201" i="8"/>
  <c r="D204" i="8"/>
  <c r="D216" i="8"/>
  <c r="D213" i="8"/>
  <c r="D212" i="8"/>
  <c r="D211" i="8"/>
  <c r="D210" i="8"/>
  <c r="D209" i="8"/>
  <c r="D207" i="8"/>
  <c r="D219" i="8"/>
  <c r="D221" i="8"/>
  <c r="D222" i="8"/>
  <c r="D223" i="8"/>
  <c r="D224" i="8"/>
  <c r="D225" i="8"/>
  <c r="D228" i="8"/>
  <c r="D233" i="8"/>
  <c r="D234" i="8"/>
  <c r="D235" i="8"/>
  <c r="D236" i="8"/>
  <c r="D237" i="8"/>
  <c r="D240" i="8"/>
  <c r="D305" i="8"/>
  <c r="D306" i="8"/>
  <c r="D307" i="8"/>
  <c r="D309" i="8"/>
  <c r="D310" i="8"/>
  <c r="D311" i="8"/>
  <c r="D347" i="8"/>
  <c r="D348" i="8"/>
  <c r="D111" i="8"/>
  <c r="D112" i="8"/>
  <c r="D113" i="8"/>
  <c r="D114" i="8"/>
  <c r="D116" i="8"/>
  <c r="D117" i="8"/>
  <c r="D118" i="8"/>
  <c r="D125" i="8"/>
  <c r="D126" i="8"/>
  <c r="D127" i="8"/>
  <c r="D128" i="8"/>
  <c r="D130" i="8"/>
  <c r="D131" i="8"/>
  <c r="D132" i="8"/>
  <c r="D139" i="8"/>
  <c r="D140" i="8"/>
  <c r="D141" i="8"/>
  <c r="D142" i="8"/>
  <c r="D144" i="8"/>
  <c r="D145" i="8"/>
  <c r="D146" i="8"/>
  <c r="D153" i="8"/>
  <c r="D154" i="8"/>
  <c r="D155" i="8"/>
  <c r="D156" i="8"/>
  <c r="D158" i="8"/>
  <c r="D159" i="8"/>
  <c r="D160" i="8"/>
  <c r="D167" i="8"/>
  <c r="D168" i="8"/>
  <c r="D169" i="8"/>
  <c r="D170" i="8"/>
  <c r="D172" i="8"/>
  <c r="D173" i="8"/>
  <c r="D174" i="8"/>
  <c r="D178" i="8"/>
  <c r="B176" i="8"/>
  <c r="D176" i="8" s="1"/>
  <c r="D177" i="8"/>
  <c r="B193" i="8"/>
  <c r="D193" i="8" s="1"/>
  <c r="D120" i="8"/>
  <c r="B121" i="8"/>
  <c r="D121" i="8" s="1"/>
  <c r="B122" i="8"/>
  <c r="D122" i="8" s="1"/>
  <c r="B123" i="8"/>
  <c r="D123" i="8" s="1"/>
  <c r="B119" i="8"/>
  <c r="B205" i="8"/>
  <c r="D205" i="8" s="1"/>
  <c r="B203" i="8"/>
  <c r="D203" i="8" s="1"/>
  <c r="B202" i="8"/>
  <c r="D202" i="8" s="1"/>
  <c r="B214" i="8"/>
  <c r="D214" i="8" s="1"/>
  <c r="B215" i="8"/>
  <c r="D215" i="8" s="1"/>
  <c r="B217" i="8"/>
  <c r="D217" i="8" s="1"/>
  <c r="B133" i="8"/>
  <c r="D133" i="8" s="1"/>
  <c r="C7" i="19"/>
  <c r="A8" i="15" s="1"/>
  <c r="C306" i="19"/>
  <c r="C304" i="19"/>
  <c r="B939" i="8"/>
  <c r="D939" i="8" s="1"/>
  <c r="B940" i="8"/>
  <c r="D940" i="8" s="1"/>
  <c r="C10" i="19"/>
  <c r="A11" i="15" s="1"/>
  <c r="B750" i="8"/>
  <c r="D750" i="8" s="1"/>
  <c r="B748" i="8"/>
  <c r="D748" i="8" s="1"/>
  <c r="B747" i="8"/>
  <c r="D747" i="8" s="1"/>
  <c r="B746" i="8"/>
  <c r="D746" i="8" s="1"/>
  <c r="B742" i="8"/>
  <c r="D742" i="8" s="1"/>
  <c r="B741" i="8"/>
  <c r="D741" i="8" s="1"/>
  <c r="B740" i="8"/>
  <c r="D740" i="8" s="1"/>
  <c r="B739" i="8"/>
  <c r="D739" i="8" s="1"/>
  <c r="B738" i="8"/>
  <c r="D738" i="8" s="1"/>
  <c r="B734" i="8"/>
  <c r="D734" i="8" s="1"/>
  <c r="B733" i="8"/>
  <c r="D733" i="8" s="1"/>
  <c r="B732" i="8"/>
  <c r="D732" i="8" s="1"/>
  <c r="B731" i="8"/>
  <c r="D731" i="8" s="1"/>
  <c r="B730" i="8"/>
  <c r="D730" i="8" s="1"/>
  <c r="B726" i="8"/>
  <c r="D726" i="8" s="1"/>
  <c r="B725" i="8"/>
  <c r="D725" i="8" s="1"/>
  <c r="B724" i="8"/>
  <c r="D724" i="8" s="1"/>
  <c r="B723" i="8"/>
  <c r="D723" i="8" s="1"/>
  <c r="B722" i="8"/>
  <c r="D722" i="8" s="1"/>
  <c r="B718" i="8"/>
  <c r="D718" i="8" s="1"/>
  <c r="B717" i="8"/>
  <c r="D717" i="8" s="1"/>
  <c r="B716" i="8"/>
  <c r="D716" i="8" s="1"/>
  <c r="B715" i="8"/>
  <c r="D715" i="8" s="1"/>
  <c r="B714" i="8"/>
  <c r="D714" i="8" s="1"/>
  <c r="B710" i="8"/>
  <c r="D710" i="8" s="1"/>
  <c r="B709" i="8"/>
  <c r="D709" i="8" s="1"/>
  <c r="B708" i="8"/>
  <c r="D708" i="8" s="1"/>
  <c r="B707" i="8"/>
  <c r="D707" i="8" s="1"/>
  <c r="B706" i="8"/>
  <c r="D706" i="8" s="1"/>
  <c r="B702" i="8"/>
  <c r="D702" i="8" s="1"/>
  <c r="B701" i="8"/>
  <c r="D701" i="8" s="1"/>
  <c r="B700" i="8"/>
  <c r="D700" i="8" s="1"/>
  <c r="B699" i="8"/>
  <c r="D699" i="8" s="1"/>
  <c r="B698" i="8"/>
  <c r="D698" i="8" s="1"/>
  <c r="B694" i="8"/>
  <c r="D694" i="8" s="1"/>
  <c r="B693" i="8"/>
  <c r="D693" i="8" s="1"/>
  <c r="B692" i="8"/>
  <c r="D692" i="8" s="1"/>
  <c r="B691" i="8"/>
  <c r="D691" i="8" s="1"/>
  <c r="B690" i="8"/>
  <c r="D690" i="8" s="1"/>
  <c r="B686" i="8"/>
  <c r="D686" i="8" s="1"/>
  <c r="B685" i="8"/>
  <c r="D685" i="8" s="1"/>
  <c r="B684" i="8"/>
  <c r="D684" i="8" s="1"/>
  <c r="B683" i="8"/>
  <c r="D683" i="8" s="1"/>
  <c r="B682" i="8"/>
  <c r="D682" i="8" s="1"/>
  <c r="D677" i="8"/>
  <c r="B675" i="8"/>
  <c r="D675" i="8" s="1"/>
  <c r="B674" i="8"/>
  <c r="D674" i="8" s="1"/>
  <c r="D669" i="8"/>
  <c r="D668" i="8"/>
  <c r="D666" i="8"/>
  <c r="D665" i="8"/>
  <c r="D664" i="8"/>
  <c r="D662" i="8"/>
  <c r="D654" i="8"/>
  <c r="D653" i="8"/>
  <c r="D651" i="8"/>
  <c r="D650" i="8"/>
  <c r="D649" i="8"/>
  <c r="D647" i="8"/>
  <c r="D639" i="8"/>
  <c r="D638" i="8"/>
  <c r="D636" i="8"/>
  <c r="D635" i="8"/>
  <c r="D634" i="8"/>
  <c r="D632" i="8"/>
  <c r="D624" i="8"/>
  <c r="D623" i="8"/>
  <c r="D621" i="8"/>
  <c r="D620" i="8"/>
  <c r="D619" i="8"/>
  <c r="D617" i="8"/>
  <c r="D609" i="8"/>
  <c r="D608" i="8"/>
  <c r="D606" i="8"/>
  <c r="D605" i="8"/>
  <c r="D604" i="8"/>
  <c r="D602" i="8"/>
  <c r="D594" i="8"/>
  <c r="D593" i="8"/>
  <c r="D591" i="8"/>
  <c r="D590" i="8"/>
  <c r="D589" i="8"/>
  <c r="D587" i="8"/>
  <c r="D579" i="8"/>
  <c r="D578" i="8"/>
  <c r="D576" i="8"/>
  <c r="D575" i="8"/>
  <c r="D574" i="8"/>
  <c r="D572" i="8"/>
  <c r="D564" i="8"/>
  <c r="D563" i="8"/>
  <c r="D561" i="8"/>
  <c r="D560" i="8"/>
  <c r="D559" i="8"/>
  <c r="D557" i="8"/>
  <c r="D549" i="8"/>
  <c r="D548" i="8"/>
  <c r="D546" i="8"/>
  <c r="D545" i="8"/>
  <c r="D544" i="8"/>
  <c r="D542" i="8"/>
  <c r="D530" i="8"/>
  <c r="D517" i="8"/>
  <c r="B241" i="8"/>
  <c r="D241" i="8" s="1"/>
  <c r="B239" i="8"/>
  <c r="D239" i="8" s="1"/>
  <c r="B238" i="8"/>
  <c r="D238" i="8" s="1"/>
  <c r="B229" i="8"/>
  <c r="D229" i="8" s="1"/>
  <c r="B227" i="8"/>
  <c r="D227" i="8" s="1"/>
  <c r="B226" i="8"/>
  <c r="D226" i="8" s="1"/>
  <c r="B191" i="8"/>
  <c r="D191" i="8" s="1"/>
  <c r="D190" i="8"/>
  <c r="B179" i="8"/>
  <c r="D179" i="8" s="1"/>
  <c r="B175" i="8"/>
  <c r="D175" i="8" s="1"/>
  <c r="B165" i="8"/>
  <c r="D165" i="8" s="1"/>
  <c r="B164" i="8"/>
  <c r="D164" i="8" s="1"/>
  <c r="B163" i="8"/>
  <c r="D163" i="8" s="1"/>
  <c r="B162" i="8"/>
  <c r="D162" i="8" s="1"/>
  <c r="B161" i="8"/>
  <c r="D161" i="8" s="1"/>
  <c r="B151" i="8"/>
  <c r="D151" i="8" s="1"/>
  <c r="B150" i="8"/>
  <c r="D150" i="8" s="1"/>
  <c r="B149" i="8"/>
  <c r="D149" i="8" s="1"/>
  <c r="B147" i="8"/>
  <c r="D147" i="8" s="1"/>
  <c r="B148" i="8"/>
  <c r="D148" i="8" s="1"/>
  <c r="B137" i="8"/>
  <c r="D137" i="8" s="1"/>
  <c r="B136" i="8"/>
  <c r="D136" i="8" s="1"/>
  <c r="B134" i="8"/>
  <c r="D134" i="8" s="1"/>
  <c r="B135" i="8"/>
  <c r="D135" i="8" s="1"/>
  <c r="D119" i="8" l="1"/>
  <c r="B284" i="19"/>
  <c r="B294" i="19"/>
  <c r="B293" i="19"/>
  <c r="B292" i="19"/>
  <c r="A295" i="19"/>
  <c r="A296" i="19" l="1"/>
  <c r="B291" i="19"/>
  <c r="A291" i="19"/>
  <c r="B290" i="19"/>
  <c r="A290" i="19"/>
  <c r="B297" i="19"/>
  <c r="A297" i="19"/>
  <c r="B296" i="19"/>
  <c r="B295" i="19"/>
  <c r="C295" i="19" s="1"/>
  <c r="B17" i="16" s="1"/>
  <c r="C294" i="19"/>
  <c r="B16" i="16" s="1"/>
  <c r="B285" i="19"/>
  <c r="A285" i="19"/>
  <c r="B282" i="19"/>
  <c r="A282" i="19"/>
  <c r="C321" i="19"/>
  <c r="C318" i="19"/>
  <c r="C319" i="19"/>
  <c r="C320" i="19"/>
  <c r="C314" i="19"/>
  <c r="C315" i="19"/>
  <c r="C316" i="19"/>
  <c r="C317" i="19"/>
  <c r="C299" i="19"/>
  <c r="C300" i="19"/>
  <c r="C301" i="19"/>
  <c r="C302" i="19"/>
  <c r="C280" i="19"/>
  <c r="A5" i="20" s="1"/>
  <c r="C104" i="19"/>
  <c r="A180" i="8" s="1"/>
  <c r="C105" i="19"/>
  <c r="A182" i="8" s="1"/>
  <c r="C106" i="19"/>
  <c r="A194" i="8" s="1"/>
  <c r="C107" i="19"/>
  <c r="A206" i="8" s="1"/>
  <c r="C108" i="19"/>
  <c r="A218" i="8" s="1"/>
  <c r="C109" i="19"/>
  <c r="A230" i="8" s="1"/>
  <c r="C115" i="19"/>
  <c r="C116" i="19"/>
  <c r="C117" i="19"/>
  <c r="C118" i="19"/>
  <c r="C119" i="19"/>
  <c r="C121" i="19"/>
  <c r="C122" i="19"/>
  <c r="C123" i="19"/>
  <c r="C124" i="19"/>
  <c r="A308" i="8" s="1"/>
  <c r="C133" i="19"/>
  <c r="C134" i="19"/>
  <c r="C135" i="19"/>
  <c r="C136" i="19"/>
  <c r="C137" i="19"/>
  <c r="C138" i="19"/>
  <c r="A349" i="8" s="1"/>
  <c r="C147" i="19"/>
  <c r="C148" i="19"/>
  <c r="C149" i="19"/>
  <c r="C150" i="19"/>
  <c r="C151" i="19"/>
  <c r="C152" i="19"/>
  <c r="C153" i="19"/>
  <c r="C154" i="19"/>
  <c r="C155" i="19"/>
  <c r="C156" i="19"/>
  <c r="C157" i="19"/>
  <c r="C158" i="19"/>
  <c r="A655" i="8" s="1"/>
  <c r="C159" i="19"/>
  <c r="C160" i="19"/>
  <c r="A522" i="8" s="1"/>
  <c r="C161" i="19"/>
  <c r="C162" i="19"/>
  <c r="A540" i="8" s="1"/>
  <c r="C163" i="19"/>
  <c r="C164" i="19"/>
  <c r="C165" i="19"/>
  <c r="C166" i="19"/>
  <c r="C167" i="19"/>
  <c r="C168" i="19"/>
  <c r="C169" i="19"/>
  <c r="C170" i="19"/>
  <c r="C171" i="19"/>
  <c r="C172" i="19"/>
  <c r="C173" i="19"/>
  <c r="C174" i="19"/>
  <c r="C175" i="19"/>
  <c r="C176" i="19"/>
  <c r="A764" i="8" s="1"/>
  <c r="C177" i="19"/>
  <c r="C178" i="19"/>
  <c r="C179" i="19"/>
  <c r="C180" i="19"/>
  <c r="C181" i="19"/>
  <c r="C182" i="19"/>
  <c r="C183" i="19"/>
  <c r="C184" i="19"/>
  <c r="C185" i="19"/>
  <c r="C186" i="19"/>
  <c r="C187" i="19"/>
  <c r="C188" i="19"/>
  <c r="C189" i="19"/>
  <c r="C190" i="19"/>
  <c r="C191" i="19"/>
  <c r="C192" i="19"/>
  <c r="C193" i="19"/>
  <c r="C194" i="19"/>
  <c r="C195" i="19"/>
  <c r="C196" i="19"/>
  <c r="C197" i="19"/>
  <c r="C198" i="19"/>
  <c r="C199" i="19"/>
  <c r="C200" i="19"/>
  <c r="C201" i="19"/>
  <c r="C202" i="19"/>
  <c r="C203" i="19"/>
  <c r="C204" i="19"/>
  <c r="C205" i="19"/>
  <c r="C206" i="19"/>
  <c r="C207" i="19"/>
  <c r="C208" i="19"/>
  <c r="C209" i="19"/>
  <c r="C210" i="19"/>
  <c r="C211" i="19"/>
  <c r="C212" i="19"/>
  <c r="C213" i="19"/>
  <c r="C214" i="19"/>
  <c r="C215" i="19"/>
  <c r="A934" i="8" s="1"/>
  <c r="C224" i="19"/>
  <c r="C225" i="19"/>
  <c r="C226" i="19"/>
  <c r="C227" i="19"/>
  <c r="C228" i="19"/>
  <c r="C229" i="19"/>
  <c r="C230" i="19"/>
  <c r="C231" i="19"/>
  <c r="C232" i="19"/>
  <c r="C233" i="19"/>
  <c r="A1033" i="8" s="1"/>
  <c r="C234" i="19"/>
  <c r="A1035" i="8" s="1"/>
  <c r="C235" i="19"/>
  <c r="A1041" i="8" s="1"/>
  <c r="C236" i="19"/>
  <c r="A1047" i="8" s="1"/>
  <c r="C237" i="19"/>
  <c r="A1053" i="8" s="1"/>
  <c r="C238" i="19"/>
  <c r="A1059" i="8" s="1"/>
  <c r="C239" i="19"/>
  <c r="A1060" i="8" s="1"/>
  <c r="C240" i="19"/>
  <c r="A1037" i="8" s="1"/>
  <c r="C241" i="19"/>
  <c r="A1062" i="8" s="1"/>
  <c r="C242" i="19"/>
  <c r="A1063" i="8" s="1"/>
  <c r="C243" i="19"/>
  <c r="A1065" i="8" s="1"/>
  <c r="C244" i="19"/>
  <c r="A1067" i="8" s="1"/>
  <c r="C245" i="19"/>
  <c r="A1074" i="8" s="1"/>
  <c r="C246" i="19"/>
  <c r="A1081" i="8" s="1"/>
  <c r="C247" i="19"/>
  <c r="A1088" i="8" s="1"/>
  <c r="C248" i="19"/>
  <c r="A1095" i="8" s="1"/>
  <c r="C249" i="19"/>
  <c r="A1068" i="8" s="1"/>
  <c r="C250" i="19"/>
  <c r="A1069" i="8" s="1"/>
  <c r="C251" i="19"/>
  <c r="A1070" i="8" s="1"/>
  <c r="C254" i="19"/>
  <c r="C255" i="19"/>
  <c r="C256" i="19"/>
  <c r="C259" i="19"/>
  <c r="C260" i="19"/>
  <c r="C261" i="19"/>
  <c r="C262" i="19"/>
  <c r="C263" i="19"/>
  <c r="C264" i="19"/>
  <c r="C265" i="19"/>
  <c r="C266" i="19"/>
  <c r="C267" i="19"/>
  <c r="A14" i="16" s="1"/>
  <c r="C268" i="19"/>
  <c r="C269" i="19"/>
  <c r="C270" i="19"/>
  <c r="C271" i="19"/>
  <c r="C272" i="19"/>
  <c r="C273" i="19"/>
  <c r="C274" i="19"/>
  <c r="C275" i="19"/>
  <c r="C14" i="16" s="1"/>
  <c r="C276" i="19"/>
  <c r="A1" i="20" s="1"/>
  <c r="C277" i="19"/>
  <c r="A2" i="20" s="1"/>
  <c r="C278" i="19"/>
  <c r="A3" i="20" s="1"/>
  <c r="C279" i="19"/>
  <c r="A4" i="20" s="1"/>
  <c r="C281" i="19"/>
  <c r="A21" i="16" s="1"/>
  <c r="C303" i="19"/>
  <c r="C305" i="19"/>
  <c r="C307" i="19"/>
  <c r="C308" i="19"/>
  <c r="C309" i="19"/>
  <c r="C310" i="19"/>
  <c r="C311" i="19"/>
  <c r="C312" i="19"/>
  <c r="C313" i="19"/>
  <c r="C322" i="19"/>
  <c r="C323" i="19"/>
  <c r="C324" i="19"/>
  <c r="C325" i="19"/>
  <c r="C326" i="19"/>
  <c r="C327" i="19"/>
  <c r="C329" i="19"/>
  <c r="A524" i="8" s="1"/>
  <c r="C331" i="19"/>
  <c r="C332" i="19"/>
  <c r="C333" i="19"/>
  <c r="C334" i="19"/>
  <c r="C335" i="19"/>
  <c r="C336" i="19"/>
  <c r="C337" i="19"/>
  <c r="C338" i="19"/>
  <c r="C339" i="19"/>
  <c r="C340" i="19"/>
  <c r="C341" i="19"/>
  <c r="C342" i="19"/>
  <c r="C343" i="19"/>
  <c r="C344" i="19"/>
  <c r="C345" i="19"/>
  <c r="C346" i="19"/>
  <c r="C347" i="19"/>
  <c r="C348" i="19"/>
  <c r="C349" i="19"/>
  <c r="C350" i="19"/>
  <c r="C351" i="19"/>
  <c r="C352" i="19"/>
  <c r="C353" i="19"/>
  <c r="C354" i="19"/>
  <c r="C355" i="19"/>
  <c r="C356" i="19"/>
  <c r="C357" i="19"/>
  <c r="C358" i="19"/>
  <c r="C359" i="19"/>
  <c r="C360" i="19"/>
  <c r="C361" i="19"/>
  <c r="C362" i="19"/>
  <c r="C363" i="19"/>
  <c r="C364" i="19"/>
  <c r="C365" i="19"/>
  <c r="C366" i="19"/>
  <c r="C367" i="19"/>
  <c r="C368" i="19"/>
  <c r="C369" i="19"/>
  <c r="C370" i="19"/>
  <c r="C371" i="19"/>
  <c r="C372" i="19"/>
  <c r="C373" i="19"/>
  <c r="C374" i="19"/>
  <c r="C375" i="19"/>
  <c r="C376" i="19"/>
  <c r="C377" i="19"/>
  <c r="C378" i="19"/>
  <c r="C379" i="19"/>
  <c r="C380" i="19"/>
  <c r="C381" i="19"/>
  <c r="C382" i="19"/>
  <c r="C383" i="19"/>
  <c r="C384" i="19"/>
  <c r="C385" i="19"/>
  <c r="C386" i="19"/>
  <c r="C387" i="19"/>
  <c r="C388" i="19"/>
  <c r="C389" i="19"/>
  <c r="C390" i="19"/>
  <c r="C391" i="19"/>
  <c r="C392" i="19"/>
  <c r="C393" i="19"/>
  <c r="C394" i="19"/>
  <c r="C395" i="19"/>
  <c r="C396" i="19"/>
  <c r="C397" i="19"/>
  <c r="C398" i="19"/>
  <c r="C399" i="19"/>
  <c r="C400" i="19"/>
  <c r="C401" i="19"/>
  <c r="C402" i="19"/>
  <c r="C403" i="19"/>
  <c r="C404" i="19"/>
  <c r="C405" i="19"/>
  <c r="C406" i="19"/>
  <c r="C407" i="19"/>
  <c r="C408" i="19"/>
  <c r="C409" i="19"/>
  <c r="C410" i="19"/>
  <c r="C411" i="19"/>
  <c r="C412" i="19"/>
  <c r="C413" i="19"/>
  <c r="C414" i="19"/>
  <c r="C415" i="19"/>
  <c r="C416" i="19"/>
  <c r="C417" i="19"/>
  <c r="C418" i="19"/>
  <c r="C419" i="19"/>
  <c r="C420" i="19"/>
  <c r="C421" i="19"/>
  <c r="C422" i="19"/>
  <c r="C423" i="19"/>
  <c r="C424" i="19"/>
  <c r="C425" i="19"/>
  <c r="C426" i="19"/>
  <c r="C427" i="19"/>
  <c r="C428" i="19"/>
  <c r="C429" i="19"/>
  <c r="C430" i="19"/>
  <c r="C431" i="19"/>
  <c r="C432" i="19"/>
  <c r="C433" i="19"/>
  <c r="C434" i="19"/>
  <c r="C435" i="19"/>
  <c r="C436" i="19"/>
  <c r="C437" i="19"/>
  <c r="C438" i="19"/>
  <c r="C439" i="19"/>
  <c r="C440" i="19"/>
  <c r="C441" i="19"/>
  <c r="C442" i="19"/>
  <c r="C443" i="19"/>
  <c r="C444" i="19"/>
  <c r="C445" i="19"/>
  <c r="C446" i="19"/>
  <c r="C447" i="19"/>
  <c r="C448" i="19"/>
  <c r="C449" i="19"/>
  <c r="C450" i="19"/>
  <c r="C451" i="19"/>
  <c r="C452" i="19"/>
  <c r="C453" i="19"/>
  <c r="C454" i="19"/>
  <c r="C455" i="19"/>
  <c r="C456" i="19"/>
  <c r="C457" i="19"/>
  <c r="C458" i="19"/>
  <c r="C459" i="19"/>
  <c r="C460" i="19"/>
  <c r="C461" i="19"/>
  <c r="C462" i="19"/>
  <c r="C463" i="19"/>
  <c r="C464" i="19"/>
  <c r="C465" i="19"/>
  <c r="C466" i="19"/>
  <c r="C467" i="19"/>
  <c r="C468" i="19"/>
  <c r="C469" i="19"/>
  <c r="C470" i="19"/>
  <c r="C471" i="19"/>
  <c r="C472" i="19"/>
  <c r="C473" i="19"/>
  <c r="C474" i="19"/>
  <c r="C475" i="19"/>
  <c r="C476" i="19"/>
  <c r="C477" i="19"/>
  <c r="C478" i="19"/>
  <c r="C479" i="19"/>
  <c r="C480" i="19"/>
  <c r="C481" i="19"/>
  <c r="C482" i="19"/>
  <c r="C483" i="19"/>
  <c r="C484" i="19"/>
  <c r="C485" i="19"/>
  <c r="C486" i="19"/>
  <c r="C487" i="19"/>
  <c r="C488" i="19"/>
  <c r="C489" i="19"/>
  <c r="C490" i="19"/>
  <c r="C491" i="19"/>
  <c r="C492" i="19"/>
  <c r="C493" i="19"/>
  <c r="C494" i="19"/>
  <c r="C495" i="19"/>
  <c r="C496" i="19"/>
  <c r="C497" i="19"/>
  <c r="C498" i="19"/>
  <c r="C499" i="19"/>
  <c r="C500" i="19"/>
  <c r="C501" i="19"/>
  <c r="C502" i="19"/>
  <c r="C503" i="19"/>
  <c r="C504" i="19"/>
  <c r="C505" i="19"/>
  <c r="C506" i="19"/>
  <c r="C507" i="19"/>
  <c r="C508" i="19"/>
  <c r="C509" i="19"/>
  <c r="C510" i="19"/>
  <c r="C511" i="19"/>
  <c r="C512" i="19"/>
  <c r="C513" i="19"/>
  <c r="C514" i="19"/>
  <c r="C515" i="19"/>
  <c r="C516" i="19"/>
  <c r="C517" i="19"/>
  <c r="C518" i="19"/>
  <c r="C519" i="19"/>
  <c r="C520" i="19"/>
  <c r="C521" i="19"/>
  <c r="C522" i="19"/>
  <c r="C523" i="19"/>
  <c r="C524" i="19"/>
  <c r="C525" i="19"/>
  <c r="C526" i="19"/>
  <c r="C527" i="19"/>
  <c r="C528" i="19"/>
  <c r="C529" i="19"/>
  <c r="C530" i="19"/>
  <c r="C531" i="19"/>
  <c r="C532" i="19"/>
  <c r="C533" i="19"/>
  <c r="C534" i="19"/>
  <c r="C535" i="19"/>
  <c r="C536" i="19"/>
  <c r="C537" i="19"/>
  <c r="C538" i="19"/>
  <c r="C539" i="19"/>
  <c r="C540" i="19"/>
  <c r="C541" i="19"/>
  <c r="C542" i="19"/>
  <c r="C543" i="19"/>
  <c r="C544" i="19"/>
  <c r="C545" i="19"/>
  <c r="C546" i="19"/>
  <c r="C547" i="19"/>
  <c r="C548" i="19"/>
  <c r="C549" i="19"/>
  <c r="C550" i="19"/>
  <c r="C551" i="19"/>
  <c r="C552" i="19"/>
  <c r="C553" i="19"/>
  <c r="C554" i="19"/>
  <c r="C555" i="19"/>
  <c r="C556" i="19"/>
  <c r="C557" i="19"/>
  <c r="C558" i="19"/>
  <c r="C559" i="19"/>
  <c r="C560" i="19"/>
  <c r="C561" i="19"/>
  <c r="C562" i="19"/>
  <c r="C563" i="19"/>
  <c r="C564" i="19"/>
  <c r="C565" i="19"/>
  <c r="C566" i="19"/>
  <c r="C567" i="19"/>
  <c r="C568" i="19"/>
  <c r="C569" i="19"/>
  <c r="C570" i="19"/>
  <c r="C571" i="19"/>
  <c r="C572" i="19"/>
  <c r="C573" i="19"/>
  <c r="C574" i="19"/>
  <c r="C575" i="19"/>
  <c r="C576" i="19"/>
  <c r="C577" i="19"/>
  <c r="C578" i="19"/>
  <c r="C579" i="19"/>
  <c r="C580" i="19"/>
  <c r="C581" i="19"/>
  <c r="C582" i="19"/>
  <c r="C583" i="19"/>
  <c r="C584" i="19"/>
  <c r="C585" i="19"/>
  <c r="C586" i="19"/>
  <c r="C587" i="19"/>
  <c r="C588" i="19"/>
  <c r="C589" i="19"/>
  <c r="C590" i="19"/>
  <c r="C591" i="19"/>
  <c r="C592" i="19"/>
  <c r="C593" i="19"/>
  <c r="C594" i="19"/>
  <c r="C595" i="19"/>
  <c r="C596" i="19"/>
  <c r="C597" i="19"/>
  <c r="C598" i="19"/>
  <c r="B90" i="8" l="1"/>
  <c r="B87" i="8"/>
  <c r="C76" i="8"/>
  <c r="C280" i="8" s="1"/>
  <c r="C77" i="8"/>
  <c r="B89" i="8"/>
  <c r="B74" i="8"/>
  <c r="D74" i="8" s="1"/>
  <c r="B76" i="8"/>
  <c r="C87" i="8"/>
  <c r="C89" i="8"/>
  <c r="C90" i="8"/>
  <c r="B77" i="8"/>
  <c r="A1003" i="8"/>
  <c r="A959" i="8"/>
  <c r="A970" i="8"/>
  <c r="A1025" i="8"/>
  <c r="A1014" i="8"/>
  <c r="A981" i="8"/>
  <c r="A992" i="8"/>
  <c r="A948" i="8"/>
  <c r="A1021" i="8"/>
  <c r="A988" i="8"/>
  <c r="A977" i="8"/>
  <c r="A999" i="8"/>
  <c r="A955" i="8"/>
  <c r="A1032" i="8"/>
  <c r="A1010" i="8"/>
  <c r="A966" i="8"/>
  <c r="A1012" i="8"/>
  <c r="A1001" i="8"/>
  <c r="A968" i="8"/>
  <c r="A1023" i="8"/>
  <c r="A979" i="8"/>
  <c r="A935" i="8"/>
  <c r="A990" i="8"/>
  <c r="A946" i="8"/>
  <c r="A957" i="8"/>
  <c r="A1002" i="8"/>
  <c r="A947" i="8"/>
  <c r="A1024" i="8"/>
  <c r="A1013" i="8"/>
  <c r="A980" i="8"/>
  <c r="A958" i="8"/>
  <c r="A991" i="8"/>
  <c r="A969" i="8"/>
  <c r="A987" i="8"/>
  <c r="A1020" i="8"/>
  <c r="A998" i="8"/>
  <c r="A954" i="8"/>
  <c r="A1031" i="8"/>
  <c r="A1009" i="8"/>
  <c r="A965" i="8"/>
  <c r="A976" i="8"/>
  <c r="A964" i="8"/>
  <c r="A1008" i="8"/>
  <c r="A975" i="8"/>
  <c r="A1019" i="8"/>
  <c r="A986" i="8"/>
  <c r="A942" i="8"/>
  <c r="A1030" i="8"/>
  <c r="A997" i="8"/>
  <c r="A953" i="8"/>
  <c r="A984" i="8"/>
  <c r="A962" i="8"/>
  <c r="A951" i="8"/>
  <c r="A1028" i="8"/>
  <c r="A995" i="8"/>
  <c r="A1017" i="8"/>
  <c r="A1006" i="8"/>
  <c r="A973" i="8"/>
  <c r="A950" i="8"/>
  <c r="A994" i="8"/>
  <c r="A1005" i="8"/>
  <c r="A961" i="8"/>
  <c r="A983" i="8"/>
  <c r="A972" i="8"/>
  <c r="A1027" i="8"/>
  <c r="A1016" i="8"/>
  <c r="A1029" i="8"/>
  <c r="A1018" i="8"/>
  <c r="A963" i="8"/>
  <c r="A952" i="8"/>
  <c r="A1007" i="8"/>
  <c r="A974" i="8"/>
  <c r="A985" i="8"/>
  <c r="A941" i="8"/>
  <c r="A996" i="8"/>
  <c r="A993" i="8"/>
  <c r="A1004" i="8"/>
  <c r="A960" i="8"/>
  <c r="A971" i="8"/>
  <c r="A949" i="8"/>
  <c r="A1026" i="8"/>
  <c r="A1015" i="8"/>
  <c r="A982" i="8"/>
  <c r="A319" i="8"/>
  <c r="A343" i="8"/>
  <c r="A331" i="8"/>
  <c r="A335" i="8"/>
  <c r="A339" i="8"/>
  <c r="A315" i="8"/>
  <c r="A323" i="8"/>
  <c r="A327" i="8"/>
  <c r="A342" i="8"/>
  <c r="A330" i="8"/>
  <c r="A318" i="8"/>
  <c r="A338" i="8"/>
  <c r="A314" i="8"/>
  <c r="A326" i="8"/>
  <c r="A334" i="8"/>
  <c r="A322" i="8"/>
  <c r="A341" i="8"/>
  <c r="A333" i="8"/>
  <c r="A321" i="8"/>
  <c r="A317" i="8"/>
  <c r="A329" i="8"/>
  <c r="A337" i="8"/>
  <c r="A313" i="8"/>
  <c r="A325" i="8"/>
  <c r="A309" i="8"/>
  <c r="A273" i="8"/>
  <c r="A261" i="8"/>
  <c r="A249" i="8"/>
  <c r="A297" i="8"/>
  <c r="A285" i="8"/>
  <c r="A258" i="8"/>
  <c r="A294" i="8"/>
  <c r="A270" i="8"/>
  <c r="A282" i="8"/>
  <c r="A275" i="8"/>
  <c r="A299" i="8"/>
  <c r="A263" i="8"/>
  <c r="A287" i="8"/>
  <c r="A251" i="8"/>
  <c r="A293" i="8"/>
  <c r="A281" i="8"/>
  <c r="A269" i="8"/>
  <c r="A257" i="8"/>
  <c r="A256" i="8"/>
  <c r="A244" i="8"/>
  <c r="A292" i="8"/>
  <c r="A280" i="8"/>
  <c r="A268" i="8"/>
  <c r="A241" i="8"/>
  <c r="A301" i="8"/>
  <c r="A277" i="8"/>
  <c r="A265" i="8"/>
  <c r="A253" i="8"/>
  <c r="A289" i="8"/>
  <c r="A239" i="8"/>
  <c r="A237" i="8"/>
  <c r="A234" i="8"/>
  <c r="A246" i="8"/>
  <c r="A197" i="8"/>
  <c r="A245" i="8"/>
  <c r="A196" i="8"/>
  <c r="A232" i="8"/>
  <c r="A357" i="8"/>
  <c r="A354" i="8"/>
  <c r="A375" i="8"/>
  <c r="A372" i="8"/>
  <c r="A369" i="8"/>
  <c r="A360" i="8"/>
  <c r="A366" i="8"/>
  <c r="A363" i="8"/>
  <c r="C232" i="8"/>
  <c r="B526" i="8"/>
  <c r="D526" i="8" s="1"/>
  <c r="B527" i="8"/>
  <c r="D527" i="8" s="1"/>
  <c r="B70" i="8"/>
  <c r="C70" i="8"/>
  <c r="B534" i="8"/>
  <c r="D534" i="8" s="1"/>
  <c r="B533" i="8"/>
  <c r="D533" i="8" s="1"/>
  <c r="B531" i="8"/>
  <c r="D531" i="8" s="1"/>
  <c r="B529" i="8"/>
  <c r="D529" i="8" s="1"/>
  <c r="A614" i="8"/>
  <c r="A554" i="8"/>
  <c r="A539" i="8"/>
  <c r="A599" i="8"/>
  <c r="A584" i="8"/>
  <c r="A569" i="8"/>
  <c r="A659" i="8"/>
  <c r="A644" i="8"/>
  <c r="A629" i="8"/>
  <c r="B184" i="8"/>
  <c r="C184" i="8"/>
  <c r="B196" i="8"/>
  <c r="C196" i="8"/>
  <c r="C220" i="8"/>
  <c r="C208" i="8"/>
  <c r="B220" i="8"/>
  <c r="B208" i="8"/>
  <c r="B232" i="8"/>
  <c r="C283" i="19"/>
  <c r="B5" i="16" s="1"/>
  <c r="C297" i="19"/>
  <c r="B19" i="16" s="1"/>
  <c r="C291" i="19"/>
  <c r="B13" i="16" s="1"/>
  <c r="C282" i="19"/>
  <c r="B4" i="16" s="1"/>
  <c r="C285" i="19"/>
  <c r="B7" i="16" s="1"/>
  <c r="C290" i="19"/>
  <c r="B12" i="16" s="1"/>
  <c r="C296" i="19"/>
  <c r="B18" i="16" s="1"/>
  <c r="A1036" i="8"/>
  <c r="A1061" i="8"/>
  <c r="A1042" i="8"/>
  <c r="A1071" i="8"/>
  <c r="A1049" i="8"/>
  <c r="A1072" i="8"/>
  <c r="A1054" i="8"/>
  <c r="A1045" i="8"/>
  <c r="A1057" i="8"/>
  <c r="A1044" i="8"/>
  <c r="A1056" i="8"/>
  <c r="A1043" i="8"/>
  <c r="A1055" i="8"/>
  <c r="A1039" i="8"/>
  <c r="A1048" i="8"/>
  <c r="A1038" i="8"/>
  <c r="A1051" i="8"/>
  <c r="A1050" i="8"/>
  <c r="A208" i="8"/>
  <c r="A220" i="8"/>
  <c r="A191" i="8"/>
  <c r="A203" i="8"/>
  <c r="A227" i="8"/>
  <c r="A233" i="8"/>
  <c r="A205" i="8"/>
  <c r="A186" i="8"/>
  <c r="A210" i="8"/>
  <c r="A189" i="8"/>
  <c r="A215" i="8"/>
  <c r="A185" i="8"/>
  <c r="A209" i="8"/>
  <c r="A201" i="8"/>
  <c r="A217" i="8"/>
  <c r="A193" i="8"/>
  <c r="A213" i="8"/>
  <c r="A184" i="8"/>
  <c r="A222" i="8"/>
  <c r="A225" i="8"/>
  <c r="A229" i="8"/>
  <c r="A221" i="8"/>
  <c r="A198" i="8"/>
  <c r="C3" i="16"/>
  <c r="A6" i="16"/>
  <c r="A7" i="16"/>
  <c r="A8" i="16"/>
  <c r="A9" i="16"/>
  <c r="A10" i="16"/>
  <c r="A11" i="16"/>
  <c r="A12" i="16"/>
  <c r="A13" i="16"/>
  <c r="A15" i="16"/>
  <c r="A16" i="16"/>
  <c r="A17" i="16"/>
  <c r="A18" i="16"/>
  <c r="A19" i="16"/>
  <c r="C11" i="16"/>
  <c r="C13" i="16"/>
  <c r="C15" i="16"/>
  <c r="B3" i="16"/>
  <c r="A1" i="16"/>
  <c r="A936" i="8"/>
  <c r="A926" i="8"/>
  <c r="A927" i="8"/>
  <c r="A928" i="8"/>
  <c r="A940" i="8"/>
  <c r="A943" i="8"/>
  <c r="A944" i="8"/>
  <c r="A923" i="8"/>
  <c r="A921" i="8"/>
  <c r="A909" i="8"/>
  <c r="A858" i="8"/>
  <c r="A885" i="8"/>
  <c r="A912" i="8"/>
  <c r="A913" i="8"/>
  <c r="A914" i="8"/>
  <c r="A915" i="8"/>
  <c r="A916" i="8"/>
  <c r="A904" i="8"/>
  <c r="A905" i="8"/>
  <c r="A880" i="8"/>
  <c r="A907" i="8"/>
  <c r="A856" i="8"/>
  <c r="A869" i="8"/>
  <c r="A882" i="8"/>
  <c r="A895" i="8"/>
  <c r="A908" i="8"/>
  <c r="A854" i="8"/>
  <c r="A801" i="8"/>
  <c r="A829" i="8"/>
  <c r="A815" i="8"/>
  <c r="D77" i="8" l="1"/>
  <c r="D90" i="8"/>
  <c r="D89" i="8"/>
  <c r="D87" i="8"/>
  <c r="C292" i="8"/>
  <c r="D292" i="8" s="1"/>
  <c r="D88" i="8"/>
  <c r="B280" i="8"/>
  <c r="D280" i="8" s="1"/>
  <c r="D76" i="8"/>
  <c r="D232" i="8"/>
  <c r="D70" i="8"/>
  <c r="D107" i="8"/>
  <c r="D184" i="8"/>
  <c r="D220" i="8"/>
  <c r="D208" i="8"/>
  <c r="D196" i="8"/>
  <c r="C10" i="16"/>
  <c r="C9" i="16"/>
  <c r="C17" i="16"/>
  <c r="C8" i="16"/>
  <c r="C12" i="16"/>
  <c r="A867" i="8"/>
  <c r="A898" i="8"/>
  <c r="A811" i="8"/>
  <c r="A939" i="8"/>
  <c r="A877" i="8"/>
  <c r="A894" i="8"/>
  <c r="A893" i="8"/>
  <c r="A866" i="8"/>
  <c r="A906" i="8"/>
  <c r="A925" i="8"/>
  <c r="A931" i="8"/>
  <c r="A920" i="8"/>
  <c r="A937" i="8"/>
  <c r="A805" i="8"/>
  <c r="A821" i="8"/>
  <c r="A868" i="8"/>
  <c r="A872" i="8"/>
  <c r="A903" i="8"/>
  <c r="A930" i="8"/>
  <c r="A938" i="8"/>
  <c r="A795" i="8"/>
  <c r="A759" i="8"/>
  <c r="A845" i="8"/>
  <c r="A860" i="8"/>
  <c r="A892" i="8"/>
  <c r="A919" i="8"/>
  <c r="A929" i="8"/>
  <c r="A932" i="8"/>
  <c r="A831" i="8"/>
  <c r="A933" i="8"/>
  <c r="A859" i="8"/>
  <c r="A886" i="8"/>
  <c r="A911" i="8"/>
  <c r="A924" i="8"/>
  <c r="A825" i="8"/>
  <c r="A765" i="8"/>
  <c r="A769" i="8"/>
  <c r="A775" i="8"/>
  <c r="A839" i="8"/>
  <c r="A857" i="8"/>
  <c r="A755" i="8"/>
  <c r="A835" i="8"/>
  <c r="A785" i="8"/>
  <c r="A849" i="8"/>
  <c r="A884" i="8"/>
  <c r="A876" i="8"/>
  <c r="A902" i="8"/>
  <c r="A910" i="8"/>
  <c r="A917" i="8"/>
  <c r="A875" i="8"/>
  <c r="A901" i="8"/>
  <c r="A918" i="8"/>
  <c r="A779" i="8"/>
  <c r="A841" i="8"/>
  <c r="A865" i="8"/>
  <c r="A870" i="8"/>
  <c r="A874" i="8"/>
  <c r="A891" i="8"/>
  <c r="A896" i="8"/>
  <c r="A900" i="8"/>
  <c r="A761" i="8"/>
  <c r="A789" i="8"/>
  <c r="A771" i="8"/>
  <c r="A851" i="8"/>
  <c r="A864" i="8"/>
  <c r="A881" i="8"/>
  <c r="A873" i="8"/>
  <c r="A890" i="8"/>
  <c r="A899" i="8"/>
  <c r="A799" i="8"/>
  <c r="A781" i="8"/>
  <c r="A863" i="8"/>
  <c r="A889" i="8"/>
  <c r="A809" i="8"/>
  <c r="A791" i="8"/>
  <c r="A862" i="8"/>
  <c r="A879" i="8"/>
  <c r="A871" i="8"/>
  <c r="A888" i="8"/>
  <c r="A897" i="8"/>
  <c r="A819" i="8"/>
  <c r="A861" i="8"/>
  <c r="A878" i="8"/>
  <c r="A883" i="8"/>
  <c r="A887" i="8"/>
  <c r="C4" i="19"/>
  <c r="A5" i="15" s="1"/>
  <c r="C3" i="19"/>
  <c r="A4" i="15" s="1"/>
  <c r="C5" i="19"/>
  <c r="A6" i="15" s="1"/>
  <c r="C6" i="19"/>
  <c r="A7" i="15" s="1"/>
  <c r="C8" i="19"/>
  <c r="A9" i="15" s="1"/>
  <c r="C9" i="19"/>
  <c r="A10" i="15" s="1"/>
  <c r="C11" i="19"/>
  <c r="A12" i="15" s="1"/>
  <c r="C12" i="19"/>
  <c r="A13" i="15" s="1"/>
  <c r="C13" i="19"/>
  <c r="A14" i="15" s="1"/>
  <c r="C14" i="19"/>
  <c r="A15" i="15" s="1"/>
  <c r="C15" i="19"/>
  <c r="A16" i="15" s="1"/>
  <c r="C16" i="19"/>
  <c r="A17" i="15" s="1"/>
  <c r="C17" i="19"/>
  <c r="A18" i="15" s="1"/>
  <c r="C18" i="19"/>
  <c r="A19" i="15" s="1"/>
  <c r="C19" i="19"/>
  <c r="A20" i="15" s="1"/>
  <c r="C20" i="19"/>
  <c r="A21" i="15" s="1"/>
  <c r="C21" i="19"/>
  <c r="A22" i="15" s="1"/>
  <c r="C22" i="19"/>
  <c r="A23" i="15" s="1"/>
  <c r="C23" i="19"/>
  <c r="A24" i="15" s="1"/>
  <c r="C24" i="19"/>
  <c r="A25" i="15" s="1"/>
  <c r="C25" i="19"/>
  <c r="A26" i="15" s="1"/>
  <c r="C26" i="19"/>
  <c r="A27" i="15" s="1"/>
  <c r="C27" i="19"/>
  <c r="A28" i="15" s="1"/>
  <c r="C28" i="19"/>
  <c r="A29" i="15" s="1"/>
  <c r="C29" i="19"/>
  <c r="A30" i="15" s="1"/>
  <c r="C30" i="19"/>
  <c r="A31" i="15" s="1"/>
  <c r="C31" i="19"/>
  <c r="A32" i="15" s="1"/>
  <c r="C32" i="19"/>
  <c r="A33" i="15" s="1"/>
  <c r="C33" i="19"/>
  <c r="A34" i="15" s="1"/>
  <c r="C34" i="19"/>
  <c r="A4" i="8" s="1"/>
  <c r="C35" i="19"/>
  <c r="A5" i="8" s="1"/>
  <c r="C36" i="19"/>
  <c r="A6" i="8" s="1"/>
  <c r="C37" i="19"/>
  <c r="A9" i="8" s="1"/>
  <c r="C38" i="19"/>
  <c r="A10" i="8" s="1"/>
  <c r="C39" i="19"/>
  <c r="A11" i="8" s="1"/>
  <c r="C40" i="19"/>
  <c r="A12" i="8" s="1"/>
  <c r="C41" i="19"/>
  <c r="A13" i="8" s="1"/>
  <c r="C42" i="19"/>
  <c r="A14" i="8" s="1"/>
  <c r="C43" i="19"/>
  <c r="A15" i="8" s="1"/>
  <c r="C44" i="19"/>
  <c r="A16" i="8" s="1"/>
  <c r="C45" i="19"/>
  <c r="A17" i="8" s="1"/>
  <c r="C46" i="19"/>
  <c r="A18" i="8" s="1"/>
  <c r="C47" i="19"/>
  <c r="A19" i="8" s="1"/>
  <c r="C48" i="19"/>
  <c r="A20" i="8" s="1"/>
  <c r="C49" i="19"/>
  <c r="A21" i="8" s="1"/>
  <c r="C50" i="19"/>
  <c r="A22" i="8" s="1"/>
  <c r="C51" i="19"/>
  <c r="A23" i="8" s="1"/>
  <c r="C52" i="19"/>
  <c r="A24" i="8" s="1"/>
  <c r="C53" i="19"/>
  <c r="A25" i="8" s="1"/>
  <c r="C54" i="19"/>
  <c r="A26" i="8" s="1"/>
  <c r="C55" i="19"/>
  <c r="A30" i="8" s="1"/>
  <c r="C56" i="19"/>
  <c r="A32" i="8" s="1"/>
  <c r="C57" i="19"/>
  <c r="A41" i="8" s="1"/>
  <c r="C58" i="19"/>
  <c r="A50" i="8" s="1"/>
  <c r="C59" i="19"/>
  <c r="A59" i="8" s="1"/>
  <c r="C60" i="19"/>
  <c r="C61" i="19"/>
  <c r="A34" i="8" s="1"/>
  <c r="C63" i="19"/>
  <c r="A36" i="8" s="1"/>
  <c r="C64" i="19"/>
  <c r="A46" i="8" s="1"/>
  <c r="C65" i="19"/>
  <c r="A38" i="8" s="1"/>
  <c r="C66" i="19"/>
  <c r="A66" i="8" s="1"/>
  <c r="C67" i="19"/>
  <c r="A58" i="8" s="1"/>
  <c r="C68" i="19"/>
  <c r="A68" i="8" s="1"/>
  <c r="C69" i="19"/>
  <c r="A70" i="8" s="1"/>
  <c r="C70" i="19"/>
  <c r="C71" i="19"/>
  <c r="C72" i="19"/>
  <c r="C73" i="19"/>
  <c r="C74" i="19"/>
  <c r="C75" i="19"/>
  <c r="C76" i="19"/>
  <c r="C77" i="19"/>
  <c r="C78" i="19"/>
  <c r="C79" i="19"/>
  <c r="A97" i="8" s="1"/>
  <c r="C80" i="19"/>
  <c r="A99" i="8" s="1"/>
  <c r="C81" i="19"/>
  <c r="A101" i="8" s="1"/>
  <c r="C82" i="19"/>
  <c r="A103" i="8" s="1"/>
  <c r="C83" i="19"/>
  <c r="A105" i="8" s="1"/>
  <c r="C84" i="19"/>
  <c r="A107" i="8" s="1"/>
  <c r="C85" i="19"/>
  <c r="A108" i="8" s="1"/>
  <c r="C86" i="19"/>
  <c r="A110" i="8" s="1"/>
  <c r="C87" i="19"/>
  <c r="A124" i="8" s="1"/>
  <c r="C88" i="19"/>
  <c r="A138" i="8" s="1"/>
  <c r="C89" i="19"/>
  <c r="A152" i="8" s="1"/>
  <c r="C90" i="19"/>
  <c r="A166" i="8" s="1"/>
  <c r="C91" i="19"/>
  <c r="C92" i="19"/>
  <c r="A126" i="8" s="1"/>
  <c r="C93" i="19"/>
  <c r="C94" i="19"/>
  <c r="C95" i="19"/>
  <c r="A143" i="8" s="1"/>
  <c r="C96" i="19"/>
  <c r="A172" i="8" s="1"/>
  <c r="C97" i="19"/>
  <c r="A145" i="8" s="1"/>
  <c r="C98" i="19"/>
  <c r="A174" i="8" s="1"/>
  <c r="C99" i="19"/>
  <c r="A133" i="8" s="1"/>
  <c r="C100" i="19"/>
  <c r="A162" i="8" s="1"/>
  <c r="C101" i="19"/>
  <c r="C102" i="19"/>
  <c r="A164" i="8" s="1"/>
  <c r="C103" i="19"/>
  <c r="A151" i="8" s="1"/>
  <c r="A302" i="8"/>
  <c r="A304" i="8"/>
  <c r="A305" i="8"/>
  <c r="A306" i="8"/>
  <c r="A311" i="8"/>
  <c r="A344" i="8"/>
  <c r="A346" i="8"/>
  <c r="A351" i="8"/>
  <c r="A376" i="8"/>
  <c r="A378" i="8"/>
  <c r="A477" i="8"/>
  <c r="A492" i="8"/>
  <c r="A452" i="8"/>
  <c r="A646" i="8"/>
  <c r="A542" i="8"/>
  <c r="A441" i="8"/>
  <c r="A512" i="8"/>
  <c r="A665" i="8"/>
  <c r="A430" i="8"/>
  <c r="A562" i="8"/>
  <c r="A460" i="8"/>
  <c r="A654" i="8"/>
  <c r="A518" i="8"/>
  <c r="A581" i="8"/>
  <c r="A670" i="8"/>
  <c r="A754" i="8"/>
  <c r="A688" i="8"/>
  <c r="A696" i="8"/>
  <c r="A704" i="8"/>
  <c r="A712" i="8"/>
  <c r="A720" i="8"/>
  <c r="A728" i="8"/>
  <c r="A834" i="8"/>
  <c r="A744" i="8"/>
  <c r="A721" i="8"/>
  <c r="A742" i="8"/>
  <c r="A752" i="8"/>
  <c r="C2" i="19"/>
  <c r="A1" i="8" s="1"/>
  <c r="A248" i="8" l="1"/>
  <c r="A284" i="8"/>
  <c r="A272" i="8"/>
  <c r="A260" i="8"/>
  <c r="A296" i="8"/>
  <c r="A274" i="8"/>
  <c r="A262" i="8"/>
  <c r="A298" i="8"/>
  <c r="A250" i="8"/>
  <c r="A286" i="8"/>
  <c r="A295" i="8"/>
  <c r="A259" i="8"/>
  <c r="A283" i="8"/>
  <c r="A247" i="8"/>
  <c r="A271" i="8"/>
  <c r="A279" i="8"/>
  <c r="A267" i="8"/>
  <c r="A255" i="8"/>
  <c r="A243" i="8"/>
  <c r="A291" i="8"/>
  <c r="A238" i="8"/>
  <c r="A235" i="8"/>
  <c r="A350" i="8"/>
  <c r="A374" i="8"/>
  <c r="A371" i="8"/>
  <c r="A353" i="8"/>
  <c r="A368" i="8"/>
  <c r="A365" i="8"/>
  <c r="A356" i="8"/>
  <c r="A362" i="8"/>
  <c r="A359" i="8"/>
  <c r="A96" i="8"/>
  <c r="A83" i="8"/>
  <c r="A84" i="8"/>
  <c r="A71" i="8"/>
  <c r="A100" i="8"/>
  <c r="A95" i="8"/>
  <c r="A82" i="8"/>
  <c r="A75" i="8"/>
  <c r="A88" i="8"/>
  <c r="A87" i="8"/>
  <c r="A81" i="8"/>
  <c r="A94" i="8"/>
  <c r="A91" i="8"/>
  <c r="A78" i="8"/>
  <c r="A93" i="8"/>
  <c r="A86" i="8"/>
  <c r="A80" i="8"/>
  <c r="A73" i="8"/>
  <c r="A77" i="8"/>
  <c r="A90" i="8"/>
  <c r="A76" i="8"/>
  <c r="A89" i="8"/>
  <c r="A1" i="15"/>
  <c r="A550" i="8"/>
  <c r="A406" i="8"/>
  <c r="A504" i="8"/>
  <c r="A535" i="8"/>
  <c r="A392" i="8"/>
  <c r="A595" i="8"/>
  <c r="A448" i="8"/>
  <c r="A625" i="8"/>
  <c r="A476" i="8"/>
  <c r="A580" i="8"/>
  <c r="A434" i="8"/>
  <c r="A565" i="8"/>
  <c r="A420" i="8"/>
  <c r="A640" i="8"/>
  <c r="A490" i="8"/>
  <c r="A610" i="8"/>
  <c r="A462" i="8"/>
  <c r="A156" i="8"/>
  <c r="A236" i="8"/>
  <c r="A224" i="8"/>
  <c r="A212" i="8"/>
  <c r="A200" i="8"/>
  <c r="A188" i="8"/>
  <c r="A167" i="8"/>
  <c r="A183" i="8"/>
  <c r="A195" i="8"/>
  <c r="A231" i="8"/>
  <c r="A219" i="8"/>
  <c r="A207" i="8"/>
  <c r="A155" i="8"/>
  <c r="A223" i="8"/>
  <c r="A211" i="8"/>
  <c r="A199" i="8"/>
  <c r="A187" i="8"/>
  <c r="A163" i="8"/>
  <c r="A202" i="8"/>
  <c r="A190" i="8"/>
  <c r="A214" i="8"/>
  <c r="A226" i="8"/>
  <c r="A802" i="8"/>
  <c r="A792" i="8"/>
  <c r="A762" i="8"/>
  <c r="A782" i="8"/>
  <c r="A852" i="8"/>
  <c r="A772" i="8"/>
  <c r="A842" i="8"/>
  <c r="A832" i="8"/>
  <c r="A822" i="8"/>
  <c r="A812" i="8"/>
  <c r="A743" i="8"/>
  <c r="A793" i="8"/>
  <c r="A783" i="8"/>
  <c r="A853" i="8"/>
  <c r="A773" i="8"/>
  <c r="A763" i="8"/>
  <c r="A843" i="8"/>
  <c r="A813" i="8"/>
  <c r="A833" i="8"/>
  <c r="A823" i="8"/>
  <c r="A803" i="8"/>
  <c r="A820" i="8"/>
  <c r="A810" i="8"/>
  <c r="A800" i="8"/>
  <c r="A790" i="8"/>
  <c r="A840" i="8"/>
  <c r="A780" i="8"/>
  <c r="A850" i="8"/>
  <c r="A770" i="8"/>
  <c r="A760" i="8"/>
  <c r="A830" i="8"/>
  <c r="A732" i="8"/>
  <c r="A838" i="8"/>
  <c r="A758" i="8"/>
  <c r="A828" i="8"/>
  <c r="A778" i="8"/>
  <c r="A818" i="8"/>
  <c r="A808" i="8"/>
  <c r="A798" i="8"/>
  <c r="A788" i="8"/>
  <c r="A848" i="8"/>
  <c r="A768" i="8"/>
  <c r="A741" i="8"/>
  <c r="A738" i="8"/>
  <c r="A846" i="8"/>
  <c r="A766" i="8"/>
  <c r="A756" i="8"/>
  <c r="A836" i="8"/>
  <c r="A816" i="8"/>
  <c r="A826" i="8"/>
  <c r="A806" i="8"/>
  <c r="A796" i="8"/>
  <c r="A786" i="8"/>
  <c r="A776" i="8"/>
  <c r="A746" i="8"/>
  <c r="A692" i="8"/>
  <c r="A698" i="8"/>
  <c r="A684" i="8"/>
  <c r="A716" i="8"/>
  <c r="A734" i="8"/>
  <c r="A520" i="8"/>
  <c r="A706" i="8"/>
  <c r="A700" i="8"/>
  <c r="A740" i="8"/>
  <c r="A408" i="8"/>
  <c r="A664" i="8"/>
  <c r="A722" i="8"/>
  <c r="A702" i="8"/>
  <c r="A748" i="8"/>
  <c r="A428" i="8"/>
  <c r="A548" i="8"/>
  <c r="A730" i="8"/>
  <c r="A708" i="8"/>
  <c r="A750" i="8"/>
  <c r="A450" i="8"/>
  <c r="A593" i="8"/>
  <c r="A634" i="8"/>
  <c r="A480" i="8"/>
  <c r="A585" i="8"/>
  <c r="A736" i="8"/>
  <c r="A674" i="8"/>
  <c r="A676" i="8"/>
  <c r="A718" i="8"/>
  <c r="A774" i="8"/>
  <c r="A604" i="8"/>
  <c r="A678" i="8"/>
  <c r="A724" i="8"/>
  <c r="A794" i="8"/>
  <c r="A511" i="8"/>
  <c r="A615" i="8"/>
  <c r="A690" i="8"/>
  <c r="A686" i="8"/>
  <c r="A844" i="8"/>
  <c r="A459" i="8"/>
  <c r="A409" i="8"/>
  <c r="A451" i="8"/>
  <c r="A505" i="8"/>
  <c r="A549" i="8"/>
  <c r="A592" i="8"/>
  <c r="A663" i="8"/>
  <c r="A679" i="8"/>
  <c r="A697" i="8"/>
  <c r="A729" i="8"/>
  <c r="A687" i="8"/>
  <c r="A703" i="8"/>
  <c r="A719" i="8"/>
  <c r="A735" i="8"/>
  <c r="A751" i="8"/>
  <c r="A784" i="8"/>
  <c r="A429" i="8"/>
  <c r="A470" i="8"/>
  <c r="A633" i="8"/>
  <c r="A611" i="8"/>
  <c r="A677" i="8"/>
  <c r="A705" i="8"/>
  <c r="A737" i="8"/>
  <c r="A685" i="8"/>
  <c r="A701" i="8"/>
  <c r="A717" i="8"/>
  <c r="A733" i="8"/>
  <c r="A749" i="8"/>
  <c r="A804" i="8"/>
  <c r="A469" i="8"/>
  <c r="A551" i="8"/>
  <c r="A653" i="8"/>
  <c r="A673" i="8"/>
  <c r="A814" i="8"/>
  <c r="A417" i="8"/>
  <c r="A596" i="8"/>
  <c r="A380" i="8"/>
  <c r="A435" i="8"/>
  <c r="A489" i="8"/>
  <c r="A552" i="8"/>
  <c r="A603" i="8"/>
  <c r="A652" i="8"/>
  <c r="A681" i="8"/>
  <c r="A713" i="8"/>
  <c r="A745" i="8"/>
  <c r="A695" i="8"/>
  <c r="A711" i="8"/>
  <c r="A727" i="8"/>
  <c r="A824" i="8"/>
  <c r="A47" i="8"/>
  <c r="A405" i="8"/>
  <c r="A447" i="8"/>
  <c r="A488" i="8"/>
  <c r="A574" i="8"/>
  <c r="A623" i="8"/>
  <c r="A645" i="8"/>
  <c r="A672" i="8"/>
  <c r="A682" i="8"/>
  <c r="A714" i="8"/>
  <c r="A694" i="8"/>
  <c r="A710" i="8"/>
  <c r="A726" i="8"/>
  <c r="A398" i="8"/>
  <c r="A440" i="8"/>
  <c r="A573" i="8"/>
  <c r="A622" i="8"/>
  <c r="A680" i="8"/>
  <c r="A689" i="8"/>
  <c r="A693" i="8"/>
  <c r="A709" i="8"/>
  <c r="A725" i="8"/>
  <c r="A500" i="8"/>
  <c r="A387" i="8"/>
  <c r="A386" i="8"/>
  <c r="A404" i="8"/>
  <c r="A396" i="8"/>
  <c r="A415" i="8"/>
  <c r="A419" i="8"/>
  <c r="A427" i="8"/>
  <c r="A446" i="8"/>
  <c r="A438" i="8"/>
  <c r="A457" i="8"/>
  <c r="A463" i="8"/>
  <c r="A468" i="8"/>
  <c r="A487" i="8"/>
  <c r="A479" i="8"/>
  <c r="A498" i="8"/>
  <c r="A517" i="8"/>
  <c r="A509" i="8"/>
  <c r="A529" i="8"/>
  <c r="A547" i="8"/>
  <c r="A559" i="8"/>
  <c r="A567" i="8"/>
  <c r="A572" i="8"/>
  <c r="A591" i="8"/>
  <c r="A597" i="8"/>
  <c r="A602" i="8"/>
  <c r="A621" i="8"/>
  <c r="A627" i="8"/>
  <c r="A632" i="8"/>
  <c r="A651" i="8"/>
  <c r="A657" i="8"/>
  <c r="A662" i="8"/>
  <c r="A626" i="8"/>
  <c r="A388" i="8"/>
  <c r="A416" i="8"/>
  <c r="A385" i="8"/>
  <c r="A403" i="8"/>
  <c r="A395" i="8"/>
  <c r="A414" i="8"/>
  <c r="A421" i="8"/>
  <c r="A426" i="8"/>
  <c r="A445" i="8"/>
  <c r="A437" i="8"/>
  <c r="A456" i="8"/>
  <c r="A475" i="8"/>
  <c r="A467" i="8"/>
  <c r="A486" i="8"/>
  <c r="A478" i="8"/>
  <c r="A497" i="8"/>
  <c r="A516" i="8"/>
  <c r="A508" i="8"/>
  <c r="A528" i="8"/>
  <c r="A546" i="8"/>
  <c r="A536" i="8"/>
  <c r="A558" i="8"/>
  <c r="A579" i="8"/>
  <c r="A571" i="8"/>
  <c r="A590" i="8"/>
  <c r="A609" i="8"/>
  <c r="A601" i="8"/>
  <c r="A620" i="8"/>
  <c r="A639" i="8"/>
  <c r="A631" i="8"/>
  <c r="A650" i="8"/>
  <c r="A669" i="8"/>
  <c r="A661" i="8"/>
  <c r="A641" i="8"/>
  <c r="A379" i="8"/>
  <c r="A384" i="8"/>
  <c r="A402" i="8"/>
  <c r="A394" i="8"/>
  <c r="A413" i="8"/>
  <c r="A433" i="8"/>
  <c r="A425" i="8"/>
  <c r="A444" i="8"/>
  <c r="A436" i="8"/>
  <c r="A455" i="8"/>
  <c r="A474" i="8"/>
  <c r="A466" i="8"/>
  <c r="A485" i="8"/>
  <c r="A491" i="8"/>
  <c r="A496" i="8"/>
  <c r="A515" i="8"/>
  <c r="A507" i="8"/>
  <c r="A525" i="8"/>
  <c r="A527" i="8"/>
  <c r="A545" i="8"/>
  <c r="A537" i="8"/>
  <c r="A557" i="8"/>
  <c r="A578" i="8"/>
  <c r="A570" i="8"/>
  <c r="A589" i="8"/>
  <c r="A608" i="8"/>
  <c r="A600" i="8"/>
  <c r="A619" i="8"/>
  <c r="A638" i="8"/>
  <c r="A630" i="8"/>
  <c r="A649" i="8"/>
  <c r="A668" i="8"/>
  <c r="A660" i="8"/>
  <c r="A656" i="8"/>
  <c r="A481" i="8"/>
  <c r="A531" i="8"/>
  <c r="A541" i="8"/>
  <c r="A561" i="8"/>
  <c r="A530" i="8"/>
  <c r="A560" i="8"/>
  <c r="A391" i="8"/>
  <c r="A383" i="8"/>
  <c r="A401" i="8"/>
  <c r="A393" i="8"/>
  <c r="A412" i="8"/>
  <c r="A432" i="8"/>
  <c r="A424" i="8"/>
  <c r="A443" i="8"/>
  <c r="A449" i="8"/>
  <c r="A454" i="8"/>
  <c r="A473" i="8"/>
  <c r="A465" i="8"/>
  <c r="A484" i="8"/>
  <c r="A503" i="8"/>
  <c r="A495" i="8"/>
  <c r="A514" i="8"/>
  <c r="A506" i="8"/>
  <c r="A534" i="8"/>
  <c r="A526" i="8"/>
  <c r="A544" i="8"/>
  <c r="A564" i="8"/>
  <c r="A556" i="8"/>
  <c r="A577" i="8"/>
  <c r="A588" i="8"/>
  <c r="A607" i="8"/>
  <c r="A618" i="8"/>
  <c r="A637" i="8"/>
  <c r="A648" i="8"/>
  <c r="A667" i="8"/>
  <c r="A439" i="8"/>
  <c r="A499" i="8"/>
  <c r="A510" i="8"/>
  <c r="A390" i="8"/>
  <c r="A382" i="8"/>
  <c r="A400" i="8"/>
  <c r="A407" i="8"/>
  <c r="A411" i="8"/>
  <c r="A431" i="8"/>
  <c r="A423" i="8"/>
  <c r="A442" i="8"/>
  <c r="A461" i="8"/>
  <c r="A453" i="8"/>
  <c r="A472" i="8"/>
  <c r="A464" i="8"/>
  <c r="A483" i="8"/>
  <c r="A502" i="8"/>
  <c r="A494" i="8"/>
  <c r="A513" i="8"/>
  <c r="A533" i="8"/>
  <c r="A521" i="8"/>
  <c r="A543" i="8"/>
  <c r="A563" i="8"/>
  <c r="A555" i="8"/>
  <c r="A576" i="8"/>
  <c r="A582" i="8"/>
  <c r="A587" i="8"/>
  <c r="A606" i="8"/>
  <c r="A612" i="8"/>
  <c r="A617" i="8"/>
  <c r="A636" i="8"/>
  <c r="A642" i="8"/>
  <c r="A647" i="8"/>
  <c r="A666" i="8"/>
  <c r="A566" i="8"/>
  <c r="A397" i="8"/>
  <c r="A458" i="8"/>
  <c r="A389" i="8"/>
  <c r="A381" i="8"/>
  <c r="A399" i="8"/>
  <c r="A418" i="8"/>
  <c r="A410" i="8"/>
  <c r="A422" i="8"/>
  <c r="A471" i="8"/>
  <c r="A482" i="8"/>
  <c r="A501" i="8"/>
  <c r="A493" i="8"/>
  <c r="A532" i="8"/>
  <c r="A575" i="8"/>
  <c r="A594" i="8"/>
  <c r="A586" i="8"/>
  <c r="A605" i="8"/>
  <c r="A624" i="8"/>
  <c r="A616" i="8"/>
  <c r="A635" i="8"/>
  <c r="A65" i="8"/>
  <c r="A56" i="8"/>
  <c r="A33" i="8"/>
  <c r="A139" i="8"/>
  <c r="A173" i="8"/>
  <c r="A307" i="8"/>
  <c r="A171" i="8"/>
  <c r="A132" i="8"/>
  <c r="A42" i="8"/>
  <c r="A51" i="8"/>
  <c r="A60" i="8"/>
  <c r="A37" i="8"/>
  <c r="A150" i="8"/>
  <c r="A144" i="8"/>
  <c r="A43" i="8"/>
  <c r="A64" i="8"/>
  <c r="A111" i="8"/>
  <c r="A142" i="8"/>
  <c r="A52" i="8"/>
  <c r="A120" i="8"/>
  <c r="A125" i="8"/>
  <c r="A161" i="8"/>
  <c r="A74" i="8"/>
  <c r="A118" i="8"/>
  <c r="A134" i="8"/>
  <c r="A154" i="8"/>
  <c r="A116" i="8"/>
  <c r="A179" i="8"/>
  <c r="A55" i="8"/>
  <c r="A112" i="8"/>
  <c r="A130" i="8"/>
  <c r="A104" i="8"/>
  <c r="A117" i="8"/>
  <c r="A131" i="8"/>
  <c r="A149" i="8"/>
  <c r="A141" i="8"/>
  <c r="A160" i="8"/>
  <c r="A178" i="8"/>
  <c r="A170" i="8"/>
  <c r="A347" i="8"/>
  <c r="A148" i="8"/>
  <c r="A140" i="8"/>
  <c r="A159" i="8"/>
  <c r="A177" i="8"/>
  <c r="A169" i="8"/>
  <c r="A310" i="8"/>
  <c r="A123" i="8"/>
  <c r="A115" i="8"/>
  <c r="A137" i="8"/>
  <c r="A129" i="8"/>
  <c r="A147" i="8"/>
  <c r="A153" i="8"/>
  <c r="A158" i="8"/>
  <c r="A176" i="8"/>
  <c r="A168" i="8"/>
  <c r="A40" i="8"/>
  <c r="A122" i="8"/>
  <c r="A114" i="8"/>
  <c r="A136" i="8"/>
  <c r="A128" i="8"/>
  <c r="A146" i="8"/>
  <c r="A165" i="8"/>
  <c r="A157" i="8"/>
  <c r="A175" i="8"/>
  <c r="A348" i="8"/>
  <c r="A57" i="8"/>
  <c r="A121" i="8"/>
  <c r="A113" i="8"/>
  <c r="A135" i="8"/>
  <c r="A48" i="8"/>
  <c r="A119" i="8"/>
  <c r="A127" i="8"/>
  <c r="A39" i="8"/>
  <c r="A63" i="8"/>
  <c r="A45" i="8"/>
  <c r="A54" i="8"/>
  <c r="A61" i="8"/>
  <c r="A67" i="8"/>
  <c r="A49" i="8"/>
  <c r="B941" i="8"/>
  <c r="D941" i="8" s="1"/>
  <c r="D935" i="8"/>
  <c r="B930" i="8"/>
  <c r="D930" i="8" s="1"/>
  <c r="B929" i="8"/>
  <c r="D929" i="8" s="1"/>
  <c r="D928" i="8"/>
  <c r="D924" i="8"/>
  <c r="D75" i="8"/>
  <c r="B1" i="8"/>
  <c r="A257" i="19" s="1"/>
  <c r="C1" i="8"/>
  <c r="A293" i="19" l="1"/>
  <c r="C293" i="19" s="1"/>
  <c r="B15" i="16" s="1"/>
  <c r="A287" i="19"/>
  <c r="B289" i="19"/>
  <c r="A289" i="19"/>
  <c r="B287" i="19"/>
  <c r="A292" i="19"/>
  <c r="C292" i="19" s="1"/>
  <c r="B14" i="16" s="1"/>
  <c r="A284" i="19"/>
  <c r="A286" i="19"/>
  <c r="B288" i="19"/>
  <c r="A288" i="19"/>
  <c r="B286" i="19"/>
  <c r="B258" i="19"/>
  <c r="A258" i="19"/>
  <c r="B257" i="19"/>
  <c r="G4" i="8" l="1"/>
  <c r="F4" i="8" s="1"/>
  <c r="C289" i="19"/>
  <c r="B11" i="16" s="1"/>
  <c r="C287" i="19"/>
  <c r="B9" i="16" s="1"/>
  <c r="C286" i="19"/>
  <c r="B8" i="16" s="1"/>
  <c r="C258" i="19"/>
  <c r="A5" i="16" s="1"/>
  <c r="C257" i="19"/>
  <c r="A4" i="16" s="1"/>
  <c r="C284" i="19"/>
  <c r="B6" i="16" s="1"/>
  <c r="C288" i="19"/>
  <c r="B10" i="1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<sst xmlns="http://schemas.openxmlformats.org/spreadsheetml/2006/main" count="717" uniqueCount="640">
  <si>
    <t>Français</t>
  </si>
  <si>
    <t>Non</t>
  </si>
  <si>
    <t>Province</t>
  </si>
  <si>
    <t>Monsieur X</t>
  </si>
  <si>
    <t>Monsieur Y</t>
  </si>
  <si>
    <t>Oui</t>
  </si>
  <si>
    <t>IMR fédéral à récupérer (déjà payé)</t>
  </si>
  <si>
    <t>IMR provincial à récupérer (déjà payé)</t>
  </si>
  <si>
    <t>Année maximale de récupération de l'IMR (si aucun IMR laisser 2023)</t>
  </si>
  <si>
    <t>Cases ci-dessous pour le menu déroulant des fiducies et autres actifs</t>
  </si>
  <si>
    <t>Formula 1</t>
  </si>
  <si>
    <t xml:space="preserve">% des bénéfices annuels investis dans des placements </t>
  </si>
  <si>
    <t>% des bénéfices annuels investis dans des placements (surplus après impôts dans l'entreprise)</t>
  </si>
  <si>
    <t>Cases ci-dessous pour le menu déroulant de la vente d'une entreprise opérante</t>
  </si>
  <si>
    <t>Formula 2</t>
  </si>
  <si>
    <t>Cases ci-dessous pour le menu déroulant des immeubles corpo</t>
  </si>
  <si>
    <t>Formula 3</t>
  </si>
  <si>
    <t xml:space="preserve">Type </t>
  </si>
  <si>
    <t>Indexation (%)</t>
  </si>
  <si>
    <t>Nature du revenu (ex.: héritage)</t>
  </si>
  <si>
    <t>Montant brut du revenu ($)</t>
  </si>
  <si>
    <t>Personne qui reçoit (inscrire dans la case gauche ou droite)</t>
  </si>
  <si>
    <t>Année de début</t>
  </si>
  <si>
    <t>Année de fin</t>
  </si>
  <si>
    <t>English</t>
  </si>
  <si>
    <t>Choix</t>
  </si>
  <si>
    <t>Optimisation fiscale</t>
  </si>
  <si>
    <t>Tax Optimization</t>
  </si>
  <si>
    <t>Veuillez sélectionner tous les éléments applicables et ensuite remplir le questionnaire</t>
  </si>
  <si>
    <t>Select all applicable items then complete the questionnaire</t>
  </si>
  <si>
    <t>Langue</t>
  </si>
  <si>
    <t>Language</t>
  </si>
  <si>
    <t>Nombre de clients</t>
  </si>
  <si>
    <t>Number of clients</t>
  </si>
  <si>
    <t>Nombre d'enfants à charge</t>
  </si>
  <si>
    <t>Number of dependent and future child(ren)</t>
  </si>
  <si>
    <t>Un des clients possède une ou plusieurs sociétés</t>
  </si>
  <si>
    <t>One of the clients has one or more corporations</t>
  </si>
  <si>
    <t>Un des clients est salarié (en dehors de son entreprise ou de celle de son conjoint)</t>
  </si>
  <si>
    <t>One of the clients is a salaried employee (outside his company or that of his spouse)</t>
  </si>
  <si>
    <t>Un des clients possède un fonds de pension</t>
  </si>
  <si>
    <t>One of the clients has a private pension plan</t>
  </si>
  <si>
    <t>Le conjoint possède un fonds de pension différent du client</t>
  </si>
  <si>
    <t>The spouse has a different private pension plan than the client</t>
  </si>
  <si>
    <t>Un des clients possède un RPDB</t>
  </si>
  <si>
    <t>One of the clients has a deferred profit sharing plan</t>
  </si>
  <si>
    <t>Un des clients possède un RR-E ou un RRI</t>
  </si>
  <si>
    <t>One of the clients has an E-PP or an IPP</t>
  </si>
  <si>
    <t>Un des clients est travailleur autonome</t>
  </si>
  <si>
    <t>One of the clients is self-employed</t>
  </si>
  <si>
    <t>Nombre de société(s) de gestion</t>
  </si>
  <si>
    <t>Number of holding corporation(s)</t>
  </si>
  <si>
    <t>Nombre de société(s) opérante(s)</t>
  </si>
  <si>
    <t>Number of operating corporation(s)</t>
  </si>
  <si>
    <t>Nombre de fiducie(s)</t>
  </si>
  <si>
    <t>Number of trust(s)</t>
  </si>
  <si>
    <t>Nombre de société(s) en nom collectif (S.E.N.C)</t>
  </si>
  <si>
    <t>Number of general partnership(s)</t>
  </si>
  <si>
    <t>Nombre d'immeubles à revenus détenus personnellement par l'un des clients</t>
  </si>
  <si>
    <t>Number of rental properties personally owned by one of the clients</t>
  </si>
  <si>
    <t>Nombre d'immeubles à revenus détenus dans une société par l'un des clients</t>
  </si>
  <si>
    <t>Number of rental properties held in a company by one of the clients</t>
  </si>
  <si>
    <t xml:space="preserve">Nombre de polices d'assurance-vie personnelles détenues par les clients </t>
  </si>
  <si>
    <t>Number of personal life insurance policies held by clients</t>
  </si>
  <si>
    <t>Nombre de polices d'assurances corporatives détenues par les sociétés (invalidité, vie, R.E.S)</t>
  </si>
  <si>
    <t>Number of corporate insurance policies held by companies (disability, life, EHP)</t>
  </si>
  <si>
    <t>Nombre d'autres actifs (détenus personnellement et corporativement) excluant les immeubles à revenus</t>
  </si>
  <si>
    <t>Number of other assets (held personally or in a company) excluding rental properties</t>
  </si>
  <si>
    <t>Je joins une copie des relevés de cotisation détaillé au RRQ/RPC pour chacun des clients</t>
  </si>
  <si>
    <t>I attach a copy of the detailed QPP/CPP contribution statements for each client</t>
  </si>
  <si>
    <r>
      <t xml:space="preserve">J'aimerais effectuer une optimisation salaire/dividendes </t>
    </r>
    <r>
      <rPr>
        <b/>
        <sz val="11"/>
        <color theme="1"/>
        <rFont val="Calibri"/>
        <family val="2"/>
        <scheme val="minor"/>
      </rPr>
      <t>(relevé détaillé des cotisations RRQ requis)</t>
    </r>
  </si>
  <si>
    <r>
      <t xml:space="preserve">I would like to do a salary/dividend optimization </t>
    </r>
    <r>
      <rPr>
        <b/>
        <sz val="11"/>
        <color theme="1"/>
        <rFont val="Calibri"/>
        <family val="2"/>
        <scheme val="minor"/>
      </rPr>
      <t>(detailed statement of QPP/CPP contributions required)</t>
    </r>
  </si>
  <si>
    <t>J'aimerais illustrer la vente d'une ou plusieurs entreprises dans les projections</t>
  </si>
  <si>
    <t>I would like to illustrate the sale of one or more companies in the projections</t>
  </si>
  <si>
    <t>Le(s) client(s) prévoit(ent) combien de dépenses extraordinaires dans les prochaines années</t>
  </si>
  <si>
    <t>The client(s) foresee(s) how many extraordinary expenses in the next few years</t>
  </si>
  <si>
    <t>Le(s) client(s) prévoit(ent) combien d'entrées d'argent extraordinaires dans les prochaines années (ex.: héritage)</t>
  </si>
  <si>
    <t>The client(s) foresee(s) how many extraordinary incomes in the next few years (e.g. inheritance)</t>
  </si>
  <si>
    <t>Ajouter des concepts complémentaires</t>
  </si>
  <si>
    <t>Add complementary concepts</t>
  </si>
  <si>
    <t>Assurance vie personnelle (nouvelle)</t>
  </si>
  <si>
    <t>Personal life insurance (new)</t>
  </si>
  <si>
    <t>Assurance vie corporative (nouvelle)</t>
  </si>
  <si>
    <t>Corporate life insurance (new)</t>
  </si>
  <si>
    <t>R.E.S. (nouveau)</t>
  </si>
  <si>
    <t>E.H.P. (new)</t>
  </si>
  <si>
    <t>RR-E (nouveau)</t>
  </si>
  <si>
    <t>E-PP (new)</t>
  </si>
  <si>
    <t>Rente (nouvelle)</t>
  </si>
  <si>
    <t>Annuity (new)</t>
  </si>
  <si>
    <t>Statut</t>
  </si>
  <si>
    <t>Status</t>
  </si>
  <si>
    <t>Sexe</t>
  </si>
  <si>
    <t>Gender</t>
  </si>
  <si>
    <t>Nom complet</t>
  </si>
  <si>
    <t>Full name</t>
  </si>
  <si>
    <t>Date de naissance (aaaa-mm-jj)</t>
  </si>
  <si>
    <t>Date of birth (yyyy-mm-dd)</t>
  </si>
  <si>
    <t>Fumeur ou non fumeur</t>
  </si>
  <si>
    <t>Smoker or non-smoker</t>
  </si>
  <si>
    <t>Coût de vie du ménage permanent avant la retraite ($) net</t>
  </si>
  <si>
    <t>Annual household budget before retirement ($)</t>
  </si>
  <si>
    <t>Coût de vie du ménage permanent à la retraite ($) net</t>
  </si>
  <si>
    <t>Annual household budget after retirement ($)</t>
  </si>
  <si>
    <t xml:space="preserve">Année de retraite </t>
  </si>
  <si>
    <t>Year of retirement</t>
  </si>
  <si>
    <r>
      <t xml:space="preserve">Je joins une copie de tous les relevés de placements </t>
    </r>
    <r>
      <rPr>
        <b/>
        <sz val="11"/>
        <color theme="1"/>
        <rFont val="Calibri Light"/>
        <family val="2"/>
        <scheme val="major"/>
      </rPr>
      <t>personnels</t>
    </r>
  </si>
  <si>
    <t>I attach a copy of all personal investment statements</t>
  </si>
  <si>
    <t>Solde REER total</t>
  </si>
  <si>
    <t>RRSP balance</t>
  </si>
  <si>
    <t>Solde CÉLI total</t>
  </si>
  <si>
    <t>TFSA balance</t>
  </si>
  <si>
    <t>Solde non-enregistré total</t>
  </si>
  <si>
    <t>Non-registered account balance</t>
  </si>
  <si>
    <t>Valeur comptable totale des comptes non-enregistrés</t>
  </si>
  <si>
    <t>Non-registered account ACB</t>
  </si>
  <si>
    <t>Solde total FERR</t>
  </si>
  <si>
    <t>RRIF balance</t>
  </si>
  <si>
    <t>Solde total FRV</t>
  </si>
  <si>
    <t>LIF balance</t>
  </si>
  <si>
    <t>Solde total CRI</t>
  </si>
  <si>
    <t>LIRA balance</t>
  </si>
  <si>
    <t>Droits de cotisation REER pour l'année en cours</t>
  </si>
  <si>
    <t>Unused RRSP contribution room for current year</t>
  </si>
  <si>
    <t>Droits de cotisation CÉLI pour l'année en cours</t>
  </si>
  <si>
    <t>Unused TFSA contribution room for current year</t>
  </si>
  <si>
    <t>Je joins une copie de la déclaration de revenus (fédérale)</t>
  </si>
  <si>
    <t>I attach a copy of federal tax return</t>
  </si>
  <si>
    <t>Je joins une copie de l'avis de cotisation (fédéral)</t>
  </si>
  <si>
    <t>I attach a copy of federal notice of assessment</t>
  </si>
  <si>
    <t>Rente RRQ/RPC actuellement reçue</t>
  </si>
  <si>
    <t>QPP/CPP pension currently received</t>
  </si>
  <si>
    <t>Enfant(s) à charge</t>
  </si>
  <si>
    <t>Dependent Child(ren)</t>
  </si>
  <si>
    <t>Enfant 1</t>
  </si>
  <si>
    <t>Child 1</t>
  </si>
  <si>
    <t>Enfant 2</t>
  </si>
  <si>
    <t>Child 2</t>
  </si>
  <si>
    <t>Enfant 3</t>
  </si>
  <si>
    <t>Child 3</t>
  </si>
  <si>
    <t>Enfant 4</t>
  </si>
  <si>
    <t>Child 4</t>
  </si>
  <si>
    <t>Nom</t>
  </si>
  <si>
    <t>Name</t>
  </si>
  <si>
    <t>Cet enfant est en garde partagée</t>
  </si>
  <si>
    <t>This child is in shared custody</t>
  </si>
  <si>
    <r>
      <t xml:space="preserve">Cet enfant fréquente/fréquentera une garderie </t>
    </r>
    <r>
      <rPr>
        <b/>
        <sz val="11"/>
        <color theme="1"/>
        <rFont val="Calibri Light"/>
        <family val="2"/>
        <scheme val="major"/>
      </rPr>
      <t>subventionnée</t>
    </r>
  </si>
  <si>
    <t>This child attends/will attend a subsidized daycare center</t>
  </si>
  <si>
    <r>
      <t xml:space="preserve">Cet enfant fréquente/fréquentera une garderie </t>
    </r>
    <r>
      <rPr>
        <b/>
        <sz val="11"/>
        <color theme="1"/>
        <rFont val="Calibri Light"/>
        <family val="2"/>
        <scheme val="major"/>
      </rPr>
      <t>non-subventionnée</t>
    </r>
  </si>
  <si>
    <t>This child attends/will attend a non-subsidized daycare center</t>
  </si>
  <si>
    <t>Date de début (aaaa-mm-jj)</t>
  </si>
  <si>
    <t>Start date (yyyy-mm-dd)</t>
  </si>
  <si>
    <t>Date de fin (aaaa-mm-jj)</t>
  </si>
  <si>
    <t>End date (yyyy-mm-dd)</t>
  </si>
  <si>
    <r>
      <t xml:space="preserve">Coût </t>
    </r>
    <r>
      <rPr>
        <b/>
        <sz val="11"/>
        <color theme="1"/>
        <rFont val="Calibri Light"/>
        <family val="2"/>
        <scheme val="major"/>
      </rPr>
      <t>par jour</t>
    </r>
    <r>
      <rPr>
        <sz val="11"/>
        <color theme="1"/>
        <rFont val="Calibri Light"/>
        <family val="2"/>
        <scheme val="major"/>
      </rPr>
      <t xml:space="preserve"> ($)</t>
    </r>
  </si>
  <si>
    <t>Childcare expenses (per day)</t>
  </si>
  <si>
    <t>Salarié</t>
  </si>
  <si>
    <t>Salaried Employee</t>
  </si>
  <si>
    <t>Revenu d'emploi ($)</t>
  </si>
  <si>
    <t>Employment income ($)</t>
  </si>
  <si>
    <t>Fonds de pension à prestations déterminées</t>
  </si>
  <si>
    <t>Defined benefit pension plan</t>
  </si>
  <si>
    <t>Je joins le relevé du fonds de pension contenant les informations ci-bas</t>
  </si>
  <si>
    <t>I attach the pension fund statement containing the information below</t>
  </si>
  <si>
    <t>Cotisations annuelles de l'employé au fonds de pension</t>
  </si>
  <si>
    <t>Employee's annual contributions to the pension fund</t>
  </si>
  <si>
    <t>Facteur d'équivalence ($)</t>
  </si>
  <si>
    <t>Equivalence factor ($)</t>
  </si>
  <si>
    <r>
      <t xml:space="preserve">Montant de la rente annuelle </t>
    </r>
    <r>
      <rPr>
        <b/>
        <sz val="11"/>
        <color theme="1"/>
        <rFont val="Calibri Light"/>
        <family val="2"/>
        <scheme val="major"/>
      </rPr>
      <t>avant</t>
    </r>
    <r>
      <rPr>
        <sz val="11"/>
        <color theme="1"/>
        <rFont val="Calibri Light"/>
        <family val="2"/>
        <scheme val="major"/>
      </rPr>
      <t xml:space="preserve"> coordination ($)</t>
    </r>
  </si>
  <si>
    <t>Annual amount of the pension before coordination ($)</t>
  </si>
  <si>
    <r>
      <t xml:space="preserve">Montant de la rente annuelle </t>
    </r>
    <r>
      <rPr>
        <b/>
        <sz val="11"/>
        <color theme="1"/>
        <rFont val="Calibri Light"/>
        <family val="2"/>
        <scheme val="major"/>
      </rPr>
      <t>après</t>
    </r>
    <r>
      <rPr>
        <sz val="11"/>
        <color theme="1"/>
        <rFont val="Calibri Light"/>
        <family val="2"/>
        <scheme val="major"/>
      </rPr>
      <t xml:space="preserve"> coordination ($)</t>
    </r>
  </si>
  <si>
    <t>Annual amount of the pension after coordination ($)</t>
  </si>
  <si>
    <t>Fonds de pension à cotisations déterminées</t>
  </si>
  <si>
    <t>Defined contribution pension plan</t>
  </si>
  <si>
    <t>Cotisations annuelles de l'employeur au fonds de pension</t>
  </si>
  <si>
    <t>Employer's annual contributions to the pension fund</t>
  </si>
  <si>
    <t>Solde du compte ($)</t>
  </si>
  <si>
    <t>Account balance ($)</t>
  </si>
  <si>
    <t>RPDB</t>
  </si>
  <si>
    <t>Deferred profit sharing plan</t>
  </si>
  <si>
    <t>Valeur actuelle du régime</t>
  </si>
  <si>
    <t>Current plan value ($)</t>
  </si>
  <si>
    <t>RR-E/RRI</t>
  </si>
  <si>
    <t>E-PP/IPP</t>
  </si>
  <si>
    <t>Je joins une copie du relevé de placement</t>
  </si>
  <si>
    <t>I attach a copy of the investment statement</t>
  </si>
  <si>
    <t>Travailleur autonome</t>
  </si>
  <si>
    <t>Self-employee</t>
  </si>
  <si>
    <t>Revenu d'entreprise net ($)</t>
  </si>
  <si>
    <t>Net business income ($)</t>
  </si>
  <si>
    <t xml:space="preserve">Société(s) de gestion </t>
  </si>
  <si>
    <t>Holding corporation(s)</t>
  </si>
  <si>
    <t>Société de gestion 1</t>
  </si>
  <si>
    <t>Holding corporation 1</t>
  </si>
  <si>
    <t>Société de gestion 2</t>
  </si>
  <si>
    <t>Holding corporation 2</t>
  </si>
  <si>
    <t>Société de gestion 3</t>
  </si>
  <si>
    <t>Holding corporation 3</t>
  </si>
  <si>
    <t>Société de gestion 4</t>
  </si>
  <si>
    <t>Holding corporation 4</t>
  </si>
  <si>
    <t>Société de gestion 5</t>
  </si>
  <si>
    <t>Holding corporation 5</t>
  </si>
  <si>
    <t>Nom de la société</t>
  </si>
  <si>
    <t>Name of the corporation</t>
  </si>
  <si>
    <t xml:space="preserve">Je joins une copie de tous les relevés de placements </t>
  </si>
  <si>
    <t>I attach a copy of all investment statements</t>
  </si>
  <si>
    <t>Je joins une copie des états financiers</t>
  </si>
  <si>
    <t>I attach a copy of the financial statements</t>
  </si>
  <si>
    <t>Je joins une copie de la déclaration de revenus fédérale T2</t>
  </si>
  <si>
    <t>I attach a copy of the T2 federal income tax return</t>
  </si>
  <si>
    <t>Pourcentage des actions ordinaires détenues par le client ou le conjoint (%)</t>
  </si>
  <si>
    <t>Percentage of shares held by client or spouse (%)</t>
  </si>
  <si>
    <t>Actions à dividendes discrétionnaires au conjoint</t>
  </si>
  <si>
    <t>Shares with discretionary dividends to the spouse</t>
  </si>
  <si>
    <t>Solde des comptes de placements ($)</t>
  </si>
  <si>
    <t>Investment accounts balance ($)</t>
  </si>
  <si>
    <t>PBR des comptes de placements ($)</t>
  </si>
  <si>
    <t>ACB of investment accounts ($)</t>
  </si>
  <si>
    <t>Solde IMRTD non déterminé ($)</t>
  </si>
  <si>
    <t>RDTOH non-eligible balance ($)</t>
  </si>
  <si>
    <t>Solde IMRTD déterminé ($)</t>
  </si>
  <si>
    <t>RDTOH eligible balance ($)</t>
  </si>
  <si>
    <t>Solde CRTG ($)</t>
  </si>
  <si>
    <t>GRIP balance ($)</t>
  </si>
  <si>
    <t>Solde CDC ($)</t>
  </si>
  <si>
    <t>CDA balance ($)</t>
  </si>
  <si>
    <t>Dépenses annuelles excluant les primes d'assurances-vie et invalidité ($)</t>
  </si>
  <si>
    <t>Annual expenses excluding life and disability insurance premiums ($)</t>
  </si>
  <si>
    <t>Société(s) opérante(s)</t>
  </si>
  <si>
    <t>Operating corporation(s)</t>
  </si>
  <si>
    <t>Société opérante 1</t>
  </si>
  <si>
    <t>Operating corporation 1</t>
  </si>
  <si>
    <t>Société opérante 2</t>
  </si>
  <si>
    <t>Operating corporation 2</t>
  </si>
  <si>
    <t>Société opérante 3</t>
  </si>
  <si>
    <t>Operating corporation 3</t>
  </si>
  <si>
    <t>Société opérante 4</t>
  </si>
  <si>
    <t>Operating corporation 4</t>
  </si>
  <si>
    <t>Société opérante 5</t>
  </si>
  <si>
    <t>Operating corporation 5</t>
  </si>
  <si>
    <t>Société opérante 6</t>
  </si>
  <si>
    <t>Operating corporation 6</t>
  </si>
  <si>
    <t>Société opérante 7</t>
  </si>
  <si>
    <t>Operating corporation 7</t>
  </si>
  <si>
    <t>Société opérante 8</t>
  </si>
  <si>
    <t>Operating corporation 8</t>
  </si>
  <si>
    <t>Société opérante 9</t>
  </si>
  <si>
    <t>Operating corporation 9</t>
  </si>
  <si>
    <t>Société opérante 10</t>
  </si>
  <si>
    <t>Operating corporation 10</t>
  </si>
  <si>
    <t>Salaire annuel versé au client/conjoint</t>
  </si>
  <si>
    <t>Annual salary paid to client/spouse</t>
  </si>
  <si>
    <t>Nom de la personne/société qui détient les actions de cette entreprise</t>
  </si>
  <si>
    <t>Owner (person/corporation) of the corporation's shares</t>
  </si>
  <si>
    <t>Pourcentage détenu par la personne/société inscrite ci-dessus (%)</t>
  </si>
  <si>
    <t>Percentage of shares held by the owner above (%)</t>
  </si>
  <si>
    <t>Je joins une copie de l'organigramme</t>
  </si>
  <si>
    <t>I attach a copy of the organization chart</t>
  </si>
  <si>
    <t>Revenu d'entreprise net des dépenses annuelles ($)</t>
  </si>
  <si>
    <t>Business income net of annual expenses ($)</t>
  </si>
  <si>
    <t>% of annual profits invested in investments (after-tax surplus in the company)</t>
  </si>
  <si>
    <t>Versement annuel pour rembourser le passif à long terme (le revenu net ci-dessus sera réduit de ce montant)</t>
  </si>
  <si>
    <t>Annual payment to repay long-term liabilities (the net income above will be reduced by this amount)</t>
  </si>
  <si>
    <t>Fiducie(s)</t>
  </si>
  <si>
    <t>Trust(s)</t>
  </si>
  <si>
    <t>Fiducie 1</t>
  </si>
  <si>
    <t>Trust 1</t>
  </si>
  <si>
    <t>Fiducie 2</t>
  </si>
  <si>
    <t>Trust 2</t>
  </si>
  <si>
    <t>Fiducie 3</t>
  </si>
  <si>
    <t>Trust 3</t>
  </si>
  <si>
    <t>Fiducie 4</t>
  </si>
  <si>
    <t>Trust 4</t>
  </si>
  <si>
    <t>Fiducie 5</t>
  </si>
  <si>
    <t>Trust 5</t>
  </si>
  <si>
    <t>Fiducie 6</t>
  </si>
  <si>
    <t>Trust 6</t>
  </si>
  <si>
    <t>Fiducie 7</t>
  </si>
  <si>
    <t>Trust 7</t>
  </si>
  <si>
    <t>Fiducie 8</t>
  </si>
  <si>
    <t>Trust 8</t>
  </si>
  <si>
    <t>Fiducie 9</t>
  </si>
  <si>
    <t>Trust 9</t>
  </si>
  <si>
    <t>Fiducie 10</t>
  </si>
  <si>
    <t>Trust 10</t>
  </si>
  <si>
    <t>Bénéficiaire (nom du client, du conjoint ou de la société, le nom doit être inscrit dans les sections en haut pour être inclus dans le menu déroulant)</t>
  </si>
  <si>
    <t>Beneficiary (client's name, spouse or company, the name must be entered in the sections above to be included in the drop-down menu)</t>
  </si>
  <si>
    <t>Je joins une copie de l'acte de fiducie</t>
  </si>
  <si>
    <t>I attach a copy of the trust deed</t>
  </si>
  <si>
    <t>Nombre de bénéficiaires</t>
  </si>
  <si>
    <t>Number of beneficiaries</t>
  </si>
  <si>
    <t xml:space="preserve">Société en nom collectif (S.E.N.C) </t>
  </si>
  <si>
    <t>General Partnership</t>
  </si>
  <si>
    <t>S.E.N.C. 1</t>
  </si>
  <si>
    <t>General Partnership 1</t>
  </si>
  <si>
    <t>S.E.N.C. 2</t>
  </si>
  <si>
    <t>General Partnership 2</t>
  </si>
  <si>
    <t>S.E.N.C. 3</t>
  </si>
  <si>
    <t>General Partnership 3</t>
  </si>
  <si>
    <t>S.E.N.C. 4</t>
  </si>
  <si>
    <t>General Partnership 4</t>
  </si>
  <si>
    <t>S.E.N.C. 5</t>
  </si>
  <si>
    <t>General Partnership 5</t>
  </si>
  <si>
    <t>S.E.N.C. 6</t>
  </si>
  <si>
    <t>General Partnership 6</t>
  </si>
  <si>
    <t>S.E.N.C. 7</t>
  </si>
  <si>
    <t>General Partnership 7</t>
  </si>
  <si>
    <t>S.E.N.C. 8</t>
  </si>
  <si>
    <t>General Partnership 8</t>
  </si>
  <si>
    <t>S.E.N.C. 9</t>
  </si>
  <si>
    <t>General Partnership 9</t>
  </si>
  <si>
    <t>S.E.N.C. 10</t>
  </si>
  <si>
    <t>General Partnership 10</t>
  </si>
  <si>
    <t>Je joins une copie des états financiers (obligatoire)</t>
  </si>
  <si>
    <t>I attach a copy of the financial statements (mandatory)</t>
  </si>
  <si>
    <t>Immeuble(s) à revenus personnel</t>
  </si>
  <si>
    <t>Personal rental properties</t>
  </si>
  <si>
    <t>Immeuble 1</t>
  </si>
  <si>
    <t>Rental property 1</t>
  </si>
  <si>
    <t>Immeuble 2</t>
  </si>
  <si>
    <t>Rental property 2</t>
  </si>
  <si>
    <t>Immeuble 3</t>
  </si>
  <si>
    <t>Rental property 3</t>
  </si>
  <si>
    <t>Immeuble 4</t>
  </si>
  <si>
    <t>Rental property 4</t>
  </si>
  <si>
    <t>Immeuble 5</t>
  </si>
  <si>
    <t>Rental property 5</t>
  </si>
  <si>
    <t>Immeuble 6</t>
  </si>
  <si>
    <t>Rental property 6</t>
  </si>
  <si>
    <t>Immeuble 7</t>
  </si>
  <si>
    <t>Rental property 7</t>
  </si>
  <si>
    <t>Immeuble 8</t>
  </si>
  <si>
    <t>Rental property 8</t>
  </si>
  <si>
    <t>Immeuble 9</t>
  </si>
  <si>
    <t>Rental property 9</t>
  </si>
  <si>
    <t>Immeuble 10</t>
  </si>
  <si>
    <t>Rental property 10</t>
  </si>
  <si>
    <t>Je joins une copie de la déclaration de revenus fédérale contenant le feuillet T776</t>
  </si>
  <si>
    <t>I attach a copy of the federal income tax return including the T776 form</t>
  </si>
  <si>
    <t>Nom ou adresse</t>
  </si>
  <si>
    <t>Name or address</t>
  </si>
  <si>
    <t>Pourcentage détenu par le client ou le conjoint (%)</t>
  </si>
  <si>
    <t>Percentage held by client or spouse</t>
  </si>
  <si>
    <t>Valeur marchande bâtiment</t>
  </si>
  <si>
    <t>Building market value</t>
  </si>
  <si>
    <t>Prix de base rajusté du bâtiment</t>
  </si>
  <si>
    <t>ACB of the building</t>
  </si>
  <si>
    <t>FNACC bâtiment</t>
  </si>
  <si>
    <t>UCC of the building</t>
  </si>
  <si>
    <t>Valeur marchande terrain</t>
  </si>
  <si>
    <t>Market value of land</t>
  </si>
  <si>
    <t>Prix de base rajusté terrain</t>
  </si>
  <si>
    <t>ACB of land</t>
  </si>
  <si>
    <t>Année de vente de l'immeuble</t>
  </si>
  <si>
    <t>Year of sale</t>
  </si>
  <si>
    <t>Solde hypohécaire</t>
  </si>
  <si>
    <t>Mortgage balance</t>
  </si>
  <si>
    <t>Date de fin du paiement hypothécaire (aaaa-mm-jj)</t>
  </si>
  <si>
    <t>Mortgage payment end date (yyyy-mm-dd)</t>
  </si>
  <si>
    <t>Taux d'intérêt sur le prêt hypothécaire (%)</t>
  </si>
  <si>
    <t>Mortgage interest rate (%)</t>
  </si>
  <si>
    <t>Revenu de location net avant déduction des intérêts sur le prêt et avant amortissement</t>
  </si>
  <si>
    <t>Net rental income before loan interest deduction and before amortization</t>
  </si>
  <si>
    <t>Immeuble(s) à revenus dans une société</t>
  </si>
  <si>
    <t>Rental properties held in a company</t>
  </si>
  <si>
    <t>Je joins une copie des états financiers de la société propriétaire</t>
  </si>
  <si>
    <t>I attach a copy of the owner company's financial statements</t>
  </si>
  <si>
    <t>Assurance(s) vie personnelle(s)</t>
  </si>
  <si>
    <t>Personal life insurance policies</t>
  </si>
  <si>
    <t>Police 1</t>
  </si>
  <si>
    <t>Policy 1</t>
  </si>
  <si>
    <t>Police 2</t>
  </si>
  <si>
    <t>Policy 2</t>
  </si>
  <si>
    <t>Police 3</t>
  </si>
  <si>
    <t>Policy 3</t>
  </si>
  <si>
    <t>Police 4</t>
  </si>
  <si>
    <t>Policy 4</t>
  </si>
  <si>
    <t>Police 5</t>
  </si>
  <si>
    <t>Policy 5</t>
  </si>
  <si>
    <t>Police 6</t>
  </si>
  <si>
    <t>Policy 6</t>
  </si>
  <si>
    <t>Police 7</t>
  </si>
  <si>
    <t>Policy 7</t>
  </si>
  <si>
    <t>Police 8</t>
  </si>
  <si>
    <t>Policy 8</t>
  </si>
  <si>
    <t>Police 9</t>
  </si>
  <si>
    <t>Policy 9</t>
  </si>
  <si>
    <t>Police 10</t>
  </si>
  <si>
    <t>Policy 10</t>
  </si>
  <si>
    <t>Je joins une copie de l'illustration</t>
  </si>
  <si>
    <t>I attach a copy of insurance illustration</t>
  </si>
  <si>
    <t>Personne assurée</t>
  </si>
  <si>
    <t>Insured person</t>
  </si>
  <si>
    <t>Capital décès ($)</t>
  </si>
  <si>
    <t>Death benefit ($)</t>
  </si>
  <si>
    <t>Année de fin si temporaire</t>
  </si>
  <si>
    <t>End year if temporary</t>
  </si>
  <si>
    <t>Taux de croissance de la valeur de rachat si vie universelle (%)</t>
  </si>
  <si>
    <t>Cash value growth rate if universal (%)</t>
  </si>
  <si>
    <t>Fonds payable au décès si vie universelle ($)</t>
  </si>
  <si>
    <t>Fund payable on death if universal ($)</t>
  </si>
  <si>
    <t>Assurance(s) corporative(s)</t>
  </si>
  <si>
    <t>Corporate life insurances</t>
  </si>
  <si>
    <t xml:space="preserve">Je joins une copie de l'illustration détaillée qui contient l'évolution du CBR et de la valeur de rachat pour chaque année. </t>
  </si>
  <si>
    <t>I attach a copy of the detailed illustration containing the evolution of the ACB and cash value each year</t>
  </si>
  <si>
    <t>Prestation maladie ($)</t>
  </si>
  <si>
    <t>Critical illness benefit ($)</t>
  </si>
  <si>
    <t>Prime annuelle ($)</t>
  </si>
  <si>
    <t>Annual premium ($)</t>
  </si>
  <si>
    <t>Autre(s) actif(s)</t>
  </si>
  <si>
    <t>Other Asset(s)</t>
  </si>
  <si>
    <t>Actif 1</t>
  </si>
  <si>
    <t>Asset 1</t>
  </si>
  <si>
    <t>Actif 2</t>
  </si>
  <si>
    <t>Asset 2</t>
  </si>
  <si>
    <t>Actif 3</t>
  </si>
  <si>
    <t>Asset 3</t>
  </si>
  <si>
    <t>Actif 4</t>
  </si>
  <si>
    <t>Asset 4</t>
  </si>
  <si>
    <t>Actif 5</t>
  </si>
  <si>
    <t>Asset 5</t>
  </si>
  <si>
    <t>Type (ex. résidence, chalet, actifs d'entreprise etc.)</t>
  </si>
  <si>
    <t>Type (e.g. residence, cottage, etc.)</t>
  </si>
  <si>
    <t xml:space="preserve">Nom du ou des détenteur(s) (nom de la société ou du client, les informations doivent être inscrites dans les sections précédentes pour être inclus dans le menu déroulant) </t>
  </si>
  <si>
    <t>Owner's name (client, spouse or company, name must be entered in the sections above to be included in the drop-down menu)</t>
  </si>
  <si>
    <t>Pourcentage détenu par le client ou la société (%)</t>
  </si>
  <si>
    <t>Percentage held by client, spouse or company (%)</t>
  </si>
  <si>
    <t>Valeur marchande totale ($)</t>
  </si>
  <si>
    <t>Total FMV ($)</t>
  </si>
  <si>
    <t>Prix de base rajusté total ($)</t>
  </si>
  <si>
    <t>Total ACB ($)</t>
  </si>
  <si>
    <t>Revenus nets annuels s'il y a lieu ($)</t>
  </si>
  <si>
    <t>Annual net income if applicable ($)</t>
  </si>
  <si>
    <t>Fraction non amortie du coût en capital s'il y a lieu ($)</t>
  </si>
  <si>
    <t>UCC if applicable ($)</t>
  </si>
  <si>
    <t>Biens agricoles ou de pêches admissibles (BAPA)</t>
  </si>
  <si>
    <t>Qualified farm or fishing property (QFFP)</t>
  </si>
  <si>
    <t>Solde du prêt ($)</t>
  </si>
  <si>
    <t>Loan balance ($)</t>
  </si>
  <si>
    <t>Date de fin du paiement du prêt (aaaa-mm-jj)</t>
  </si>
  <si>
    <t>Loan end date (yyyy-mm-dd)</t>
  </si>
  <si>
    <t>Taux d'intérêt sur le prêt (%)</t>
  </si>
  <si>
    <t>Loan interest rate (%)</t>
  </si>
  <si>
    <t>Année de vente</t>
  </si>
  <si>
    <t>Vente d'une société opérante</t>
  </si>
  <si>
    <t>Sale of an operating company</t>
  </si>
  <si>
    <t xml:space="preserve">Société opérante vendue 1 </t>
  </si>
  <si>
    <t>Operating company sold 1</t>
  </si>
  <si>
    <t>Société opérante vendue 2</t>
  </si>
  <si>
    <t>Operating company sold 2</t>
  </si>
  <si>
    <t>Société opérante vendue 3</t>
  </si>
  <si>
    <t>Operating company sold 3</t>
  </si>
  <si>
    <t>Société opérante vendue 4</t>
  </si>
  <si>
    <t>Operating company sold 4</t>
  </si>
  <si>
    <t>Société opérante vendue 5</t>
  </si>
  <si>
    <t>Operating company sold 5</t>
  </si>
  <si>
    <t>Société opérante vendue 6</t>
  </si>
  <si>
    <t>Operating company sold 6</t>
  </si>
  <si>
    <t>Société opérante vendue 7</t>
  </si>
  <si>
    <t>Operating company sold 7</t>
  </si>
  <si>
    <t>Société opérante vendue 8</t>
  </si>
  <si>
    <t>Operating company sold 8</t>
  </si>
  <si>
    <t>Société opérante vendue 9</t>
  </si>
  <si>
    <t>Operating company sold 9</t>
  </si>
  <si>
    <t>Société opérante vendue 10</t>
  </si>
  <si>
    <t>Operating company sold 10</t>
  </si>
  <si>
    <t xml:space="preserve">Nom de l'entreprise qui sera vendue (le nom doit être inscrit dans les sections en haut pour être inclus dans le menu déroulant) </t>
  </si>
  <si>
    <t>Name of company to be sold (name must be entered in the sections above to be included in the drop-down menu)</t>
  </si>
  <si>
    <t>Nom du client vendeur ou de la société vendeuse</t>
  </si>
  <si>
    <t>Seller's name</t>
  </si>
  <si>
    <t>Vente vers une personne liée (parent ou enfant)</t>
  </si>
  <si>
    <t>Sale to a related person (parent or child)</t>
  </si>
  <si>
    <t>Je joins un mémo fiscal détaillant la transaction de vente</t>
  </si>
  <si>
    <t>I attach a tax memo detailing the sale transaction</t>
  </si>
  <si>
    <t>Valeur marchande actuelle des actions ($)</t>
  </si>
  <si>
    <t>FMV of shares ($)</t>
  </si>
  <si>
    <t>Prix de base rajusté des actions ($)</t>
  </si>
  <si>
    <t>ACB of shares ($)</t>
  </si>
  <si>
    <t>Entreprise agricole</t>
  </si>
  <si>
    <t>Agricultural business</t>
  </si>
  <si>
    <t>Actions admissibles à l'exonération pour gain en capital</t>
  </si>
  <si>
    <t>Qualified small business corporation shares</t>
  </si>
  <si>
    <t xml:space="preserve">Montant restant disponible pour l'exonération pour gain en capital du client vendeur </t>
  </si>
  <si>
    <t>Remaining amount available for seller's capital gains deduction</t>
  </si>
  <si>
    <t>Dépense(s) extraordinaire(s)</t>
  </si>
  <si>
    <t>Extraordinary expense(s)</t>
  </si>
  <si>
    <t>Dépense extraordinaire 1</t>
  </si>
  <si>
    <t>Extraordinary expense 1</t>
  </si>
  <si>
    <t>Dépense extraordinaire 2</t>
  </si>
  <si>
    <t>Extraordinary expense 2</t>
  </si>
  <si>
    <t>Dépense extraordinaire 3</t>
  </si>
  <si>
    <t>Extraordinary expense 3</t>
  </si>
  <si>
    <t>Dépense extraordinaire 4</t>
  </si>
  <si>
    <t>Extraordinary expense 4</t>
  </si>
  <si>
    <t>Dépense extraordinaire 5</t>
  </si>
  <si>
    <t>Extraordinary expense 5</t>
  </si>
  <si>
    <t>Nature de la dépense (ex.: rénovations de la résidence principale)</t>
  </si>
  <si>
    <t>Nature of the expense (e.g. renovations to the main residence)</t>
  </si>
  <si>
    <t>Montant de la dépense ($)</t>
  </si>
  <si>
    <t>Expense amount ($)</t>
  </si>
  <si>
    <t>Start year</t>
  </si>
  <si>
    <t>End year</t>
  </si>
  <si>
    <t>Revenu(s) extraordinaire(s)</t>
  </si>
  <si>
    <t>Extraordinary income(s)</t>
  </si>
  <si>
    <t>Revenu extraordinaire 1</t>
  </si>
  <si>
    <t>Extraordinary income 1</t>
  </si>
  <si>
    <t>Revenu extraordinaire 2</t>
  </si>
  <si>
    <t>Extraordinary income 2</t>
  </si>
  <si>
    <t>Revenu extraordinaire 3</t>
  </si>
  <si>
    <t>Extraordinary income 3</t>
  </si>
  <si>
    <t>Revenu extraordinaire 4</t>
  </si>
  <si>
    <t>Extraordinary income 4</t>
  </si>
  <si>
    <t>Revenu extraordinaire 5</t>
  </si>
  <si>
    <t>Extraordinary income 5</t>
  </si>
  <si>
    <t>Nature of the income (e.g. inheritance)</t>
  </si>
  <si>
    <t>Gross amount ($)</t>
  </si>
  <si>
    <t>Person who receives (enter in left or right box)</t>
  </si>
  <si>
    <t>Information obligatoire manquante</t>
  </si>
  <si>
    <t>Missing mandatory information</t>
  </si>
  <si>
    <t>Nombre d'informations manquantes</t>
  </si>
  <si>
    <t>Number of missing information</t>
  </si>
  <si>
    <t>Documents à remettre</t>
  </si>
  <si>
    <t>Documents to submit</t>
  </si>
  <si>
    <t>Joint</t>
  </si>
  <si>
    <t>Attach</t>
  </si>
  <si>
    <t>Personne à contacter</t>
  </si>
  <si>
    <t>Person to contact</t>
  </si>
  <si>
    <t>Relevé(s) de placement(s) société(s)</t>
  </si>
  <si>
    <t>Company investment statement(s)</t>
  </si>
  <si>
    <t>Relevé détaillé RRQ</t>
  </si>
  <si>
    <t>QPP/CPP detailed statement</t>
  </si>
  <si>
    <t>États financiers gestion</t>
  </si>
  <si>
    <t>Holding corporation's financial statement</t>
  </si>
  <si>
    <t>États financiers société(s) opérante(s)</t>
  </si>
  <si>
    <t>Operating corporation's financial statement</t>
  </si>
  <si>
    <t xml:space="preserve">Déclaration de revenus T2 société(s) de gestion </t>
  </si>
  <si>
    <t>Holding corporation's T2 tax return</t>
  </si>
  <si>
    <t xml:space="preserve">Déclaration de revenus T2 société(s) de opérante(s) </t>
  </si>
  <si>
    <t>Operating corporation's T2 tax return</t>
  </si>
  <si>
    <t>Organigramme</t>
  </si>
  <si>
    <t>Organizational chart</t>
  </si>
  <si>
    <t>Acte de fiducie</t>
  </si>
  <si>
    <t>Trust deed</t>
  </si>
  <si>
    <t>Illustration(s) d'assurance(s) vie personnelle(s)</t>
  </si>
  <si>
    <t>Illustration(s) of personal life insurance(s)</t>
  </si>
  <si>
    <t>Illustration(s) d'assurance(s) vie corporative(s)</t>
  </si>
  <si>
    <t>Illustration(s) of corporate life insurance(s)</t>
  </si>
  <si>
    <t>Relevé(s) de fonds de pension</t>
  </si>
  <si>
    <t>Pension fund statement(s)</t>
  </si>
  <si>
    <t>États financiers de la S.E.N.C</t>
  </si>
  <si>
    <t>General partnership's financial statement</t>
  </si>
  <si>
    <t>Déclaration(s) de revenus (fédérale)</t>
  </si>
  <si>
    <t>Federal tax return</t>
  </si>
  <si>
    <t>Avis de cotisation (fédéral)</t>
  </si>
  <si>
    <t xml:space="preserve">Federal notice of assessment </t>
  </si>
  <si>
    <t>Comptable</t>
  </si>
  <si>
    <t>Accountant</t>
  </si>
  <si>
    <t>Fiscaliste/comptable</t>
  </si>
  <si>
    <t>Fiscalist/Accountant</t>
  </si>
  <si>
    <t>Client/assureur/conseiller</t>
  </si>
  <si>
    <t>Client/Insurer/Advisor</t>
  </si>
  <si>
    <t xml:space="preserve">*Si des documents sont manquants et/ou des cases sont restées en rouges au questionnaire, j'autorise à ce que des hypothèses </t>
  </si>
  <si>
    <t>*If documents are missing and/or boxes remain in red on the questionnaire, I authorize hypotheses to be taken if the amount</t>
  </si>
  <si>
    <t>soient prises et ce, si la quantité d'informations remises est suffisante. Je comprends que toute hypothèse posée est suceptible de ne</t>
  </si>
  <si>
    <t>of information submitted is sufficient. I understand that any hypotheses made are likely not to represent reality.</t>
  </si>
  <si>
    <t xml:space="preserve">pas représenter la réalité. Je m'engage à en aviser clairement mon ou mes clients et je comprends que cela peut avoir un impact </t>
  </si>
  <si>
    <t>I undertake to clearly notify my client(s) of this and I understand that this may have an impact on the results of the analysis</t>
  </si>
  <si>
    <t>sur les résultats de l'analyse et sur les recommandations.</t>
  </si>
  <si>
    <t>and on the recommendations.</t>
  </si>
  <si>
    <t>Signature ou nom du conseiller</t>
  </si>
  <si>
    <t>Signature or name of advisor</t>
  </si>
  <si>
    <t>Utiliser cet espace pour apporter tout élément de précision aditionnel sur le dossier.</t>
  </si>
  <si>
    <t xml:space="preserve">Use this space to provide any additional clarification about the madante. </t>
  </si>
  <si>
    <t>Veuillez compléter tous les éléments en rouge de la page précédente ou joindre tous les documents requis.</t>
  </si>
  <si>
    <t>Please complete all items in red on the previous page or attach all required documents.</t>
  </si>
  <si>
    <t>Consentement à la divulgation de renseignements personnels</t>
  </si>
  <si>
    <t>Consent to disclose personal information</t>
  </si>
  <si>
    <t xml:space="preserve">         Je,</t>
  </si>
  <si>
    <t xml:space="preserve">         I,</t>
  </si>
  <si>
    <t>, autorise mon conseiller à contacter les professionnels</t>
  </si>
  <si>
    <t>, authorize my advisor to contact the following</t>
  </si>
  <si>
    <t>suivants afin d'obtenir les précisions nécéssaires à l'exécution du mandat d'optimisation fiscale.</t>
  </si>
  <si>
    <t>professionals in order to obtain the necessary details for the tax optimization mandate.</t>
  </si>
  <si>
    <t xml:space="preserve">Nom du comptable : </t>
  </si>
  <si>
    <t>Accountant's name :</t>
  </si>
  <si>
    <t>Courriel du comptable :</t>
  </si>
  <si>
    <t>Accountant's email :</t>
  </si>
  <si>
    <t xml:space="preserve">Nom du fiscaliste : </t>
  </si>
  <si>
    <t>Fiscalist's name :</t>
  </si>
  <si>
    <t>Courriel du fiscaliste :</t>
  </si>
  <si>
    <t>Fiscalist's email :</t>
  </si>
  <si>
    <t>J'autorise également mon conseiller à divulguer mes renseignements personnels, le contenu du présent</t>
  </si>
  <si>
    <t>I also authorize my advisor to disclose my personal information, the content of this document</t>
  </si>
  <si>
    <t>document ainsi que les documents identifiés à la page précédente à tous les intervenants du groupe SFL</t>
  </si>
  <si>
    <t>as well as the documents identified on the previous page to all stakeholders of SFL Expertise</t>
  </si>
  <si>
    <t xml:space="preserve">Expertise afin de leur permettre de procéder à l'exécution du mandat d'optimisation fiscale. </t>
  </si>
  <si>
    <t>group to enable them to carry out the tax optimization mandate.</t>
  </si>
  <si>
    <t xml:space="preserve">Signature du client : </t>
  </si>
  <si>
    <t>Client's signature</t>
  </si>
  <si>
    <t>Nom du client</t>
  </si>
  <si>
    <t>Client's name</t>
  </si>
  <si>
    <t xml:space="preserve">Signature conseiller : </t>
  </si>
  <si>
    <t>Advisor's signature</t>
  </si>
  <si>
    <t>Nom du conseiller :</t>
  </si>
  <si>
    <t>Advisor's name</t>
  </si>
  <si>
    <t>Yes</t>
  </si>
  <si>
    <t>No</t>
  </si>
  <si>
    <t>Cotisations déterminées</t>
  </si>
  <si>
    <t>Prestations déterminées</t>
  </si>
  <si>
    <t>Québec</t>
  </si>
  <si>
    <t>Quebec</t>
  </si>
  <si>
    <t>Ontario</t>
  </si>
  <si>
    <t>Nouveau-Brunswick</t>
  </si>
  <si>
    <t>New Brunswick</t>
  </si>
  <si>
    <t>Veuf</t>
  </si>
  <si>
    <t>Widower</t>
  </si>
  <si>
    <t>Non veuf</t>
  </si>
  <si>
    <t>Not widowed</t>
  </si>
  <si>
    <t>Masculin</t>
  </si>
  <si>
    <t>Male</t>
  </si>
  <si>
    <t>Féminin</t>
  </si>
  <si>
    <t>Female</t>
  </si>
  <si>
    <t>Fumeur</t>
  </si>
  <si>
    <t>Smoker</t>
  </si>
  <si>
    <t>Non fumeur</t>
  </si>
  <si>
    <t>Non-smoker</t>
  </si>
  <si>
    <t>Non requis</t>
  </si>
  <si>
    <t>Not required</t>
  </si>
  <si>
    <t>Nom de la société propriétaire (les informations doivent être inscrites dans les sections précédentes pour être inclus dans le menu déroulant)</t>
  </si>
  <si>
    <t>Name of the owning corporation (informations must be entered in the sections above to be included in the drop-down menu)</t>
  </si>
  <si>
    <t>Pourcentage détenu par la société (%)</t>
  </si>
  <si>
    <t>Percentage held by corporation (%)</t>
  </si>
  <si>
    <t>Page suivante</t>
  </si>
  <si>
    <t>Next page</t>
  </si>
  <si>
    <t>Page précédente</t>
  </si>
  <si>
    <t>Previous page</t>
  </si>
  <si>
    <t xml:space="preserve">Document  </t>
  </si>
  <si>
    <t>Client(s)</t>
  </si>
  <si>
    <t>Adresse courriel</t>
  </si>
  <si>
    <t>Numéro de téléphone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</si>
</sst>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 * #,##0.00_)\ &quot;$&quot;_ ;_ * \(#,##0.00\)\ &quot;$&quot;_ ;_ * &quot;-&quot;??_)\ &quot;$&quot;_ ;_ @_ "/>
    <numFmt numFmtId="43" formatCode="_ * #,##0.00_)_ ;_ * \(#,##0.00\)_ ;_ * &quot;-&quot;??_)_ ;_ @_ "/>
    <numFmt numFmtId="164" formatCode="_ * #,##0_)\ &quot;$&quot;_ ;_ * \(#,##0\)\ &quot;$&quot;_ ;_ * &quot;-&quot;??_)\ &quot;$&quot;_ ;_ @_ "/>
    <numFmt numFmtId="165" formatCode="[$-F800]dddd\,\ mmmm\ dd\,\ yyyy"/>
    <numFmt numFmtId="166" formatCode="#,##0.00\ &quot;$&quot;"/>
    <numFmt numFmtId="167" formatCode="0;\-0;;@"/>
  </numFmts>
  <fonts count="2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sz val="11"/>
      <color theme="1"/>
      <name val="Calibri Light"/>
      <family val="2"/>
      <scheme val="major"/>
    </font>
    <font>
      <b/>
      <sz val="20"/>
      <color theme="0"/>
      <name val="Calibri Light"/>
      <family val="2"/>
      <scheme val="major"/>
    </font>
    <font>
      <sz val="9"/>
      <color theme="1"/>
      <name val="Calibri"/>
      <family val="2"/>
      <scheme val="minor"/>
    </font>
    <font>
      <sz val="11"/>
      <name val="Calibri Light"/>
      <family val="2"/>
      <scheme val="maj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theme="1"/>
      <name val="Calibri Light"/>
      <family val="2"/>
      <scheme val="major"/>
    </font>
    <font>
      <b/>
      <sz val="11"/>
      <name val="Calibri"/>
      <family val="2"/>
      <scheme val="minor"/>
    </font>
    <font>
      <b/>
      <sz val="11"/>
      <color theme="0"/>
      <name val="Calibri Light"/>
      <family val="2"/>
      <scheme val="major"/>
    </font>
    <font>
      <b/>
      <sz val="14"/>
      <color theme="0"/>
      <name val="Calibri Light"/>
      <family val="2"/>
      <scheme val="major"/>
    </font>
    <font>
      <sz val="8"/>
      <name val="Calibri"/>
      <family val="2"/>
      <scheme val="minor"/>
    </font>
    <font>
      <sz val="11"/>
      <color indexed="8"/>
      <name val="Calibri"/>
      <family val="2"/>
      <scheme val="minor"/>
    </font>
    <font>
      <sz val="22"/>
      <name val="Calibri Light"/>
      <family val="2"/>
      <scheme val="maj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E1430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EBE3D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</cellStyleXfs>
  <cellXfs count="206">
    <xf numFmtId="0" fontId="0" fillId="0" borderId="0" xfId="0"/>
    <xf numFmtId="0" fontId="0" fillId="0" borderId="1" xfId="0" applyBorder="1"/>
    <xf numFmtId="0" fontId="3" fillId="0" borderId="1" xfId="0" applyFont="1" applyBorder="1" applyAlignment="1">
      <alignment horizontal="left"/>
    </xf>
    <xf numFmtId="0" fontId="0" fillId="0" borderId="1" xfId="0" applyBorder="1" applyAlignment="1">
      <alignment horizontal="center"/>
    </xf>
    <xf numFmtId="0" fontId="6" fillId="0" borderId="0" xfId="0" applyFont="1" applyAlignment="1">
      <alignment vertical="center" wrapText="1"/>
    </xf>
    <xf numFmtId="0" fontId="6" fillId="0" borderId="0" xfId="0" applyFont="1" applyAlignment="1">
      <alignment wrapText="1"/>
    </xf>
    <xf numFmtId="0" fontId="3" fillId="0" borderId="1" xfId="0" applyFont="1" applyBorder="1"/>
    <xf numFmtId="0" fontId="1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4" xfId="0" applyBorder="1"/>
    <xf numFmtId="0" fontId="0" fillId="0" borderId="13" xfId="0" applyBorder="1"/>
    <xf numFmtId="0" fontId="0" fillId="0" borderId="9" xfId="0" applyBorder="1"/>
    <xf numFmtId="0" fontId="0" fillId="0" borderId="5" xfId="0" applyBorder="1"/>
    <xf numFmtId="0" fontId="3" fillId="0" borderId="1" xfId="0" applyFont="1" applyBorder="1" applyAlignment="1">
      <alignment horizontal="left" vertical="top"/>
    </xf>
    <xf numFmtId="0" fontId="7" fillId="0" borderId="1" xfId="0" applyFont="1" applyBorder="1" applyAlignment="1">
      <alignment horizontal="left"/>
    </xf>
    <xf numFmtId="0" fontId="0" fillId="6" borderId="1" xfId="0" applyFill="1" applyBorder="1"/>
    <xf numFmtId="0" fontId="1" fillId="0" borderId="19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1" fillId="0" borderId="21" xfId="0" applyFont="1" applyBorder="1" applyAlignment="1">
      <alignment horizontal="center"/>
    </xf>
    <xf numFmtId="0" fontId="0" fillId="6" borderId="22" xfId="0" applyFill="1" applyBorder="1"/>
    <xf numFmtId="0" fontId="0" fillId="6" borderId="23" xfId="0" applyFill="1" applyBorder="1"/>
    <xf numFmtId="0" fontId="0" fillId="6" borderId="24" xfId="0" applyFill="1" applyBorder="1"/>
    <xf numFmtId="0" fontId="0" fillId="6" borderId="25" xfId="0" applyFill="1" applyBorder="1"/>
    <xf numFmtId="0" fontId="0" fillId="6" borderId="26" xfId="0" applyFill="1" applyBorder="1"/>
    <xf numFmtId="0" fontId="0" fillId="0" borderId="23" xfId="0" applyBorder="1"/>
    <xf numFmtId="0" fontId="0" fillId="6" borderId="27" xfId="0" applyFill="1" applyBorder="1"/>
    <xf numFmtId="0" fontId="0" fillId="6" borderId="10" xfId="0" applyFill="1" applyBorder="1"/>
    <xf numFmtId="0" fontId="0" fillId="6" borderId="28" xfId="0" applyFill="1" applyBorder="1"/>
    <xf numFmtId="0" fontId="0" fillId="7" borderId="1" xfId="0" applyFill="1" applyBorder="1"/>
    <xf numFmtId="0" fontId="0" fillId="8" borderId="24" xfId="0" applyFill="1" applyBorder="1"/>
    <xf numFmtId="0" fontId="0" fillId="8" borderId="25" xfId="0" applyFill="1" applyBorder="1"/>
    <xf numFmtId="0" fontId="0" fillId="8" borderId="26" xfId="0" applyFill="1" applyBorder="1"/>
    <xf numFmtId="0" fontId="0" fillId="8" borderId="22" xfId="0" applyFill="1" applyBorder="1"/>
    <xf numFmtId="0" fontId="0" fillId="8" borderId="1" xfId="0" applyFill="1" applyBorder="1"/>
    <xf numFmtId="0" fontId="0" fillId="8" borderId="23" xfId="0" applyFill="1" applyBorder="1"/>
    <xf numFmtId="0" fontId="0" fillId="8" borderId="30" xfId="0" applyFill="1" applyBorder="1"/>
    <xf numFmtId="0" fontId="0" fillId="8" borderId="31" xfId="0" applyFill="1" applyBorder="1"/>
    <xf numFmtId="0" fontId="0" fillId="0" borderId="29" xfId="0" applyBorder="1"/>
    <xf numFmtId="0" fontId="0" fillId="7" borderId="22" xfId="0" applyFill="1" applyBorder="1"/>
    <xf numFmtId="0" fontId="0" fillId="7" borderId="23" xfId="0" applyFill="1" applyBorder="1"/>
    <xf numFmtId="0" fontId="0" fillId="9" borderId="23" xfId="0" applyFill="1" applyBorder="1"/>
    <xf numFmtId="0" fontId="0" fillId="9" borderId="1" xfId="0" applyFill="1" applyBorder="1"/>
    <xf numFmtId="0" fontId="0" fillId="9" borderId="22" xfId="0" applyFill="1" applyBorder="1"/>
    <xf numFmtId="0" fontId="0" fillId="9" borderId="30" xfId="0" applyFill="1" applyBorder="1"/>
    <xf numFmtId="0" fontId="0" fillId="7" borderId="27" xfId="0" applyFill="1" applyBorder="1"/>
    <xf numFmtId="0" fontId="0" fillId="7" borderId="10" xfId="0" applyFill="1" applyBorder="1"/>
    <xf numFmtId="0" fontId="0" fillId="7" borderId="28" xfId="0" applyFill="1" applyBorder="1"/>
    <xf numFmtId="0" fontId="11" fillId="0" borderId="12" xfId="0" applyFont="1" applyBorder="1" applyAlignment="1">
      <alignment horizontal="left"/>
    </xf>
    <xf numFmtId="0" fontId="0" fillId="0" borderId="4" xfId="0" applyBorder="1" applyAlignment="1">
      <alignment horizontal="left"/>
    </xf>
    <xf numFmtId="0" fontId="11" fillId="0" borderId="8" xfId="0" applyFont="1" applyBorder="1" applyAlignment="1">
      <alignment horizontal="left"/>
    </xf>
    <xf numFmtId="0" fontId="0" fillId="0" borderId="0" xfId="0" applyAlignment="1">
      <alignment horizontal="left"/>
    </xf>
    <xf numFmtId="0" fontId="15" fillId="0" borderId="0" xfId="0" applyFont="1"/>
    <xf numFmtId="0" fontId="0" fillId="9" borderId="32" xfId="0" applyFill="1" applyBorder="1"/>
    <xf numFmtId="0" fontId="0" fillId="9" borderId="33" xfId="0" applyFill="1" applyBorder="1"/>
    <xf numFmtId="0" fontId="0" fillId="9" borderId="3" xfId="0" applyFill="1" applyBorder="1"/>
    <xf numFmtId="0" fontId="0" fillId="9" borderId="34" xfId="0" applyFill="1" applyBorder="1"/>
    <xf numFmtId="0" fontId="3" fillId="0" borderId="0" xfId="0" applyFont="1" applyAlignment="1">
      <alignment horizontal="left"/>
    </xf>
    <xf numFmtId="0" fontId="17" fillId="0" borderId="0" xfId="0" applyFont="1"/>
    <xf numFmtId="0" fontId="0" fillId="8" borderId="27" xfId="0" applyFill="1" applyBorder="1"/>
    <xf numFmtId="0" fontId="0" fillId="8" borderId="10" xfId="0" applyFill="1" applyBorder="1"/>
    <xf numFmtId="0" fontId="0" fillId="8" borderId="28" xfId="0" applyFill="1" applyBorder="1"/>
    <xf numFmtId="0" fontId="0" fillId="7" borderId="35" xfId="0" applyFill="1" applyBorder="1"/>
    <xf numFmtId="0" fontId="0" fillId="7" borderId="29" xfId="0" applyFill="1" applyBorder="1"/>
    <xf numFmtId="0" fontId="0" fillId="7" borderId="36" xfId="0" applyFill="1" applyBorder="1"/>
    <xf numFmtId="0" fontId="1" fillId="0" borderId="10" xfId="0" applyFont="1" applyBorder="1" applyAlignment="1">
      <alignment horizontal="center" vertical="center"/>
    </xf>
    <xf numFmtId="0" fontId="0" fillId="0" borderId="29" xfId="0" applyBorder="1" applyAlignment="1">
      <alignment horizontal="center"/>
    </xf>
    <xf numFmtId="0" fontId="18" fillId="0" borderId="0" xfId="0" applyFont="1"/>
    <xf numFmtId="0" fontId="18" fillId="0" borderId="0" xfId="0" applyFont="1" applyAlignment="1">
      <alignment horizontal="left"/>
    </xf>
    <xf numFmtId="0" fontId="3" fillId="0" borderId="1" xfId="0" applyFont="1" applyBorder="1" applyAlignment="1">
      <alignment horizontal="left" wrapText="1"/>
    </xf>
    <xf numFmtId="0" fontId="7" fillId="0" borderId="1" xfId="0" applyFont="1" applyBorder="1" applyAlignment="1">
      <alignment horizontal="left" wrapText="1"/>
    </xf>
    <xf numFmtId="0" fontId="3" fillId="0" borderId="4" xfId="0" applyFont="1" applyBorder="1"/>
    <xf numFmtId="0" fontId="20" fillId="0" borderId="0" xfId="0" applyFont="1"/>
    <xf numFmtId="0" fontId="20" fillId="0" borderId="0" xfId="0" applyFont="1" applyAlignment="1">
      <alignment horizontal="center"/>
    </xf>
    <xf numFmtId="0" fontId="3" fillId="0" borderId="2" xfId="0" applyFont="1" applyBorder="1" applyAlignment="1">
      <alignment horizontal="left"/>
    </xf>
    <xf numFmtId="0" fontId="7" fillId="0" borderId="4" xfId="0" applyFont="1" applyBorder="1" applyAlignment="1">
      <alignment horizontal="left"/>
    </xf>
    <xf numFmtId="0" fontId="7" fillId="0" borderId="4" xfId="0" applyFont="1" applyBorder="1" applyAlignment="1">
      <alignment horizontal="left" wrapText="1"/>
    </xf>
    <xf numFmtId="0" fontId="0" fillId="9" borderId="35" xfId="0" applyFill="1" applyBorder="1"/>
    <xf numFmtId="0" fontId="0" fillId="9" borderId="29" xfId="0" applyFill="1" applyBorder="1"/>
    <xf numFmtId="0" fontId="0" fillId="9" borderId="36" xfId="0" applyFill="1" applyBorder="1"/>
    <xf numFmtId="0" fontId="0" fillId="0" borderId="31" xfId="0" applyBorder="1"/>
    <xf numFmtId="0" fontId="0" fillId="0" borderId="36" xfId="0" applyBorder="1"/>
    <xf numFmtId="167" fontId="19" fillId="0" borderId="1" xfId="0" applyNumberFormat="1" applyFont="1" applyBorder="1" applyAlignment="1">
      <alignment wrapText="1"/>
    </xf>
    <xf numFmtId="0" fontId="18" fillId="0" borderId="1" xfId="0" applyFont="1" applyBorder="1"/>
    <xf numFmtId="167" fontId="0" fillId="0" borderId="1" xfId="0" applyNumberFormat="1" applyBorder="1"/>
    <xf numFmtId="167" fontId="19" fillId="0" borderId="0" xfId="0" applyNumberFormat="1" applyFont="1" applyAlignment="1">
      <alignment wrapText="1"/>
    </xf>
    <xf numFmtId="167" fontId="0" fillId="0" borderId="0" xfId="0" applyNumberFormat="1"/>
    <xf numFmtId="0" fontId="19" fillId="0" borderId="1" xfId="0" applyFont="1" applyBorder="1" applyAlignment="1">
      <alignment horizontal="left" wrapText="1"/>
    </xf>
    <xf numFmtId="0" fontId="18" fillId="0" borderId="1" xfId="0" applyFont="1" applyBorder="1" applyAlignment="1">
      <alignment horizontal="center"/>
    </xf>
    <xf numFmtId="167" fontId="21" fillId="0" borderId="1" xfId="0" applyNumberFormat="1" applyFont="1" applyBorder="1" applyAlignment="1">
      <alignment wrapText="1"/>
    </xf>
    <xf numFmtId="0" fontId="0" fillId="0" borderId="10" xfId="0" applyBorder="1"/>
    <xf numFmtId="0" fontId="3" fillId="0" borderId="1" xfId="0" applyFont="1" applyBorder="1" applyAlignment="1" applyProtection="1">
      <alignment horizontal="center"/>
      <protection locked="0"/>
    </xf>
    <xf numFmtId="44" fontId="3" fillId="0" borderId="1" xfId="1" applyFont="1" applyBorder="1" applyAlignment="1" applyProtection="1">
      <alignment horizontal="center"/>
      <protection locked="0"/>
    </xf>
    <xf numFmtId="0" fontId="3" fillId="0" borderId="1" xfId="1" applyNumberFormat="1" applyFont="1" applyBorder="1" applyAlignment="1" applyProtection="1">
      <alignment horizontal="center"/>
      <protection locked="0"/>
    </xf>
    <xf numFmtId="44" fontId="3" fillId="0" borderId="1" xfId="0" applyNumberFormat="1" applyFont="1" applyBorder="1" applyAlignment="1" applyProtection="1">
      <alignment horizontal="center"/>
      <protection locked="0"/>
    </xf>
    <xf numFmtId="44" fontId="3" fillId="0" borderId="16" xfId="0" applyNumberFormat="1" applyFont="1" applyBorder="1" applyAlignment="1" applyProtection="1">
      <alignment horizontal="center"/>
      <protection locked="0"/>
    </xf>
    <xf numFmtId="0" fontId="3" fillId="0" borderId="16" xfId="0" applyFont="1" applyBorder="1" applyAlignment="1" applyProtection="1">
      <alignment horizontal="center"/>
      <protection locked="0"/>
    </xf>
    <xf numFmtId="9" fontId="3" fillId="0" borderId="16" xfId="2" applyFont="1" applyBorder="1" applyAlignment="1" applyProtection="1">
      <alignment horizontal="center"/>
      <protection locked="0"/>
    </xf>
    <xf numFmtId="9" fontId="3" fillId="0" borderId="15" xfId="2" applyFont="1" applyBorder="1" applyAlignment="1" applyProtection="1">
      <alignment horizontal="center"/>
      <protection locked="0"/>
    </xf>
    <xf numFmtId="44" fontId="3" fillId="0" borderId="16" xfId="2" applyNumberFormat="1" applyFont="1" applyBorder="1" applyAlignment="1" applyProtection="1">
      <alignment horizontal="center"/>
      <protection locked="0"/>
    </xf>
    <xf numFmtId="44" fontId="3" fillId="0" borderId="15" xfId="2" applyNumberFormat="1" applyFont="1" applyBorder="1" applyAlignment="1" applyProtection="1">
      <alignment horizontal="center"/>
      <protection locked="0"/>
    </xf>
    <xf numFmtId="44" fontId="3" fillId="0" borderId="37" xfId="2" applyNumberFormat="1" applyFont="1" applyBorder="1" applyAlignment="1" applyProtection="1">
      <alignment horizontal="center"/>
      <protection locked="0"/>
    </xf>
    <xf numFmtId="44" fontId="3" fillId="0" borderId="38" xfId="2" applyNumberFormat="1" applyFont="1" applyBorder="1" applyAlignment="1" applyProtection="1">
      <alignment horizontal="center"/>
      <protection locked="0"/>
    </xf>
    <xf numFmtId="44" fontId="3" fillId="0" borderId="39" xfId="2" applyNumberFormat="1" applyFont="1" applyBorder="1" applyAlignment="1" applyProtection="1">
      <alignment horizontal="center"/>
      <protection locked="0"/>
    </xf>
    <xf numFmtId="0" fontId="0" fillId="0" borderId="4" xfId="0" applyBorder="1" applyAlignment="1" applyProtection="1">
      <alignment vertical="center"/>
      <protection locked="0"/>
    </xf>
    <xf numFmtId="0" fontId="0" fillId="0" borderId="13" xfId="0" applyBorder="1" applyAlignment="1" applyProtection="1">
      <alignment vertical="center"/>
      <protection locked="0"/>
    </xf>
    <xf numFmtId="0" fontId="0" fillId="0" borderId="8" xfId="0" applyBorder="1" applyProtection="1">
      <protection locked="0"/>
    </xf>
    <xf numFmtId="0" fontId="0" fillId="0" borderId="0" xfId="0" applyProtection="1">
      <protection locked="0"/>
    </xf>
    <xf numFmtId="0" fontId="0" fillId="0" borderId="9" xfId="0" applyBorder="1" applyProtection="1">
      <protection locked="0"/>
    </xf>
    <xf numFmtId="0" fontId="9" fillId="0" borderId="8" xfId="0" applyFont="1" applyBorder="1" applyProtection="1">
      <protection locked="0"/>
    </xf>
    <xf numFmtId="0" fontId="0" fillId="0" borderId="14" xfId="0" applyBorder="1" applyProtection="1">
      <protection locked="0"/>
    </xf>
    <xf numFmtId="0" fontId="0" fillId="0" borderId="5" xfId="0" applyBorder="1" applyProtection="1">
      <protection locked="0"/>
    </xf>
    <xf numFmtId="0" fontId="0" fillId="0" borderId="6" xfId="0" applyBorder="1" applyProtection="1">
      <protection locked="0"/>
    </xf>
    <xf numFmtId="165" fontId="3" fillId="0" borderId="1" xfId="0" applyNumberFormat="1" applyFont="1" applyBorder="1" applyAlignment="1" applyProtection="1">
      <alignment horizontal="center" vertical="center"/>
      <protection locked="0"/>
    </xf>
    <xf numFmtId="165" fontId="3" fillId="0" borderId="1" xfId="0" applyNumberFormat="1" applyFont="1" applyBorder="1" applyAlignment="1" applyProtection="1">
      <alignment horizontal="center"/>
      <protection locked="0"/>
    </xf>
    <xf numFmtId="0" fontId="3" fillId="0" borderId="4" xfId="0" applyFont="1" applyBorder="1" applyAlignment="1">
      <alignment horizontal="left"/>
    </xf>
    <xf numFmtId="0" fontId="3" fillId="0" borderId="4" xfId="0" applyFont="1" applyBorder="1" applyAlignment="1">
      <alignment horizontal="left" wrapText="1"/>
    </xf>
    <xf numFmtId="167" fontId="0" fillId="0" borderId="10" xfId="0" applyNumberFormat="1" applyBorder="1"/>
    <xf numFmtId="0" fontId="0" fillId="0" borderId="1" xfId="0" applyBorder="1" applyAlignment="1">
      <alignment horizontal="left"/>
    </xf>
    <xf numFmtId="167" fontId="0" fillId="0" borderId="1" xfId="0" applyNumberFormat="1" applyBorder="1" applyAlignment="1">
      <alignment horizontal="left"/>
    </xf>
    <xf numFmtId="0" fontId="11" fillId="0" borderId="12" xfId="0" applyFont="1" applyBorder="1" applyAlignment="1" applyProtection="1">
      <alignment vertical="center"/>
      <protection locked="0"/>
    </xf>
    <xf numFmtId="0" fontId="0" fillId="5" borderId="1" xfId="3" applyNumberFormat="1" applyFont="1" applyFill="1" applyBorder="1" applyAlignment="1" applyProtection="1">
      <alignment horizontal="center"/>
      <protection locked="0"/>
    </xf>
    <xf numFmtId="0" fontId="2" fillId="3" borderId="12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6" fillId="0" borderId="0" xfId="0" applyFont="1" applyAlignment="1">
      <alignment horizontal="center" vertical="center" wrapText="1"/>
    </xf>
    <xf numFmtId="0" fontId="0" fillId="5" borderId="2" xfId="3" applyNumberFormat="1" applyFont="1" applyFill="1" applyBorder="1" applyAlignment="1" applyProtection="1">
      <alignment horizontal="center"/>
      <protection locked="0"/>
    </xf>
    <xf numFmtId="0" fontId="0" fillId="5" borderId="3" xfId="3" applyNumberFormat="1" applyFont="1" applyFill="1" applyBorder="1" applyAlignment="1" applyProtection="1">
      <alignment horizontal="center"/>
      <protection locked="0"/>
    </xf>
    <xf numFmtId="0" fontId="5" fillId="2" borderId="12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13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5" fillId="2" borderId="9" xfId="0" applyFont="1" applyFill="1" applyBorder="1" applyAlignment="1">
      <alignment horizontal="center" vertical="center"/>
    </xf>
    <xf numFmtId="0" fontId="5" fillId="2" borderId="14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0" fontId="10" fillId="4" borderId="7" xfId="0" applyFont="1" applyFill="1" applyBorder="1" applyAlignment="1">
      <alignment horizontal="center" vertical="center"/>
    </xf>
    <xf numFmtId="0" fontId="10" fillId="4" borderId="3" xfId="0" applyFont="1" applyFill="1" applyBorder="1" applyAlignment="1">
      <alignment horizontal="center" vertical="center"/>
    </xf>
    <xf numFmtId="0" fontId="3" fillId="0" borderId="2" xfId="0" applyFont="1" applyBorder="1" applyAlignment="1" applyProtection="1">
      <alignment horizontal="center"/>
      <protection locked="0"/>
    </xf>
    <xf numFmtId="0" fontId="3" fillId="0" borderId="3" xfId="0" applyFont="1" applyBorder="1" applyAlignment="1" applyProtection="1">
      <alignment horizontal="center"/>
      <protection locked="0"/>
    </xf>
    <xf numFmtId="164" fontId="3" fillId="0" borderId="2" xfId="1" applyNumberFormat="1" applyFont="1" applyBorder="1" applyAlignment="1" applyProtection="1">
      <alignment horizontal="center"/>
      <protection locked="0"/>
    </xf>
    <xf numFmtId="164" fontId="3" fillId="0" borderId="3" xfId="1" applyNumberFormat="1" applyFont="1" applyBorder="1" applyAlignment="1" applyProtection="1">
      <alignment horizontal="center"/>
      <protection locked="0"/>
    </xf>
    <xf numFmtId="165" fontId="3" fillId="0" borderId="2" xfId="0" applyNumberFormat="1" applyFont="1" applyBorder="1" applyAlignment="1" applyProtection="1">
      <alignment horizontal="center"/>
      <protection locked="0"/>
    </xf>
    <xf numFmtId="165" fontId="3" fillId="0" borderId="7" xfId="0" applyNumberFormat="1" applyFont="1" applyBorder="1" applyAlignment="1" applyProtection="1">
      <alignment horizontal="center"/>
      <protection locked="0"/>
    </xf>
    <xf numFmtId="165" fontId="3" fillId="0" borderId="3" xfId="0" applyNumberFormat="1" applyFont="1" applyBorder="1" applyAlignment="1" applyProtection="1">
      <alignment horizontal="center"/>
      <protection locked="0"/>
    </xf>
    <xf numFmtId="0" fontId="12" fillId="3" borderId="2" xfId="0" applyFont="1" applyFill="1" applyBorder="1" applyAlignment="1">
      <alignment horizontal="center"/>
    </xf>
    <xf numFmtId="0" fontId="12" fillId="3" borderId="7" xfId="0" applyFont="1" applyFill="1" applyBorder="1" applyAlignment="1">
      <alignment horizontal="center"/>
    </xf>
    <xf numFmtId="0" fontId="12" fillId="3" borderId="3" xfId="0" applyFont="1" applyFill="1" applyBorder="1" applyAlignment="1">
      <alignment horizontal="center"/>
    </xf>
    <xf numFmtId="44" fontId="3" fillId="0" borderId="2" xfId="0" applyNumberFormat="1" applyFont="1" applyBorder="1" applyAlignment="1" applyProtection="1">
      <alignment horizontal="center"/>
      <protection locked="0"/>
    </xf>
    <xf numFmtId="44" fontId="3" fillId="0" borderId="3" xfId="0" applyNumberFormat="1" applyFont="1" applyBorder="1" applyAlignment="1" applyProtection="1">
      <alignment horizontal="center"/>
      <protection locked="0"/>
    </xf>
    <xf numFmtId="0" fontId="3" fillId="0" borderId="7" xfId="0" applyFont="1" applyBorder="1" applyAlignment="1" applyProtection="1">
      <alignment horizontal="center"/>
      <protection locked="0"/>
    </xf>
    <xf numFmtId="9" fontId="3" fillId="0" borderId="7" xfId="2" applyFont="1" applyBorder="1" applyAlignment="1" applyProtection="1">
      <alignment horizontal="center"/>
      <protection locked="0"/>
    </xf>
    <xf numFmtId="9" fontId="3" fillId="0" borderId="3" xfId="2" applyFont="1" applyBorder="1" applyAlignment="1" applyProtection="1">
      <alignment horizontal="center"/>
      <protection locked="0"/>
    </xf>
    <xf numFmtId="44" fontId="3" fillId="0" borderId="7" xfId="1" applyFont="1" applyBorder="1" applyAlignment="1" applyProtection="1">
      <alignment horizontal="center"/>
      <protection locked="0"/>
    </xf>
    <xf numFmtId="44" fontId="3" fillId="0" borderId="3" xfId="1" applyFont="1" applyBorder="1" applyAlignment="1" applyProtection="1">
      <alignment horizontal="center"/>
      <protection locked="0"/>
    </xf>
    <xf numFmtId="166" fontId="3" fillId="0" borderId="7" xfId="1" applyNumberFormat="1" applyFont="1" applyBorder="1" applyAlignment="1" applyProtection="1">
      <alignment horizontal="center"/>
      <protection locked="0"/>
    </xf>
    <xf numFmtId="166" fontId="3" fillId="0" borderId="3" xfId="1" applyNumberFormat="1" applyFont="1" applyBorder="1" applyAlignment="1" applyProtection="1">
      <alignment horizontal="center"/>
      <protection locked="0"/>
    </xf>
    <xf numFmtId="0" fontId="12" fillId="3" borderId="1" xfId="0" applyFont="1" applyFill="1" applyBorder="1" applyAlignment="1">
      <alignment horizontal="center"/>
    </xf>
    <xf numFmtId="44" fontId="3" fillId="0" borderId="2" xfId="1" applyFont="1" applyBorder="1" applyAlignment="1" applyProtection="1">
      <alignment horizontal="center"/>
      <protection locked="0"/>
    </xf>
    <xf numFmtId="0" fontId="13" fillId="2" borderId="4" xfId="0" applyFont="1" applyFill="1" applyBorder="1" applyAlignment="1">
      <alignment horizontal="center" vertical="center"/>
    </xf>
    <xf numFmtId="0" fontId="13" fillId="2" borderId="5" xfId="0" applyFont="1" applyFill="1" applyBorder="1" applyAlignment="1">
      <alignment horizontal="center" vertical="center"/>
    </xf>
    <xf numFmtId="9" fontId="3" fillId="0" borderId="2" xfId="2" applyFont="1" applyBorder="1" applyAlignment="1" applyProtection="1">
      <alignment horizontal="center"/>
      <protection locked="0"/>
    </xf>
    <xf numFmtId="0" fontId="13" fillId="2" borderId="0" xfId="0" applyFont="1" applyFill="1" applyAlignment="1">
      <alignment horizontal="center" vertical="center"/>
    </xf>
    <xf numFmtId="0" fontId="12" fillId="3" borderId="14" xfId="0" applyFont="1" applyFill="1" applyBorder="1" applyAlignment="1">
      <alignment horizontal="center"/>
    </xf>
    <xf numFmtId="0" fontId="12" fillId="3" borderId="5" xfId="0" applyFont="1" applyFill="1" applyBorder="1" applyAlignment="1">
      <alignment horizontal="center"/>
    </xf>
    <xf numFmtId="0" fontId="12" fillId="3" borderId="6" xfId="0" applyFont="1" applyFill="1" applyBorder="1" applyAlignment="1">
      <alignment horizontal="center"/>
    </xf>
    <xf numFmtId="44" fontId="3" fillId="0" borderId="1" xfId="0" applyNumberFormat="1" applyFont="1" applyBorder="1" applyAlignment="1" applyProtection="1">
      <alignment horizontal="center"/>
      <protection locked="0"/>
    </xf>
    <xf numFmtId="14" fontId="3" fillId="0" borderId="2" xfId="0" applyNumberFormat="1" applyFont="1" applyBorder="1" applyAlignment="1" applyProtection="1">
      <alignment horizontal="center"/>
      <protection locked="0"/>
    </xf>
    <xf numFmtId="0" fontId="13" fillId="2" borderId="1" xfId="0" applyFont="1" applyFill="1" applyBorder="1" applyAlignment="1">
      <alignment horizontal="center" vertical="center"/>
    </xf>
    <xf numFmtId="44" fontId="3" fillId="0" borderId="14" xfId="0" applyNumberFormat="1" applyFont="1" applyBorder="1" applyAlignment="1" applyProtection="1">
      <alignment horizontal="center"/>
      <protection locked="0"/>
    </xf>
    <xf numFmtId="44" fontId="3" fillId="0" borderId="6" xfId="0" applyNumberFormat="1" applyFont="1" applyBorder="1" applyAlignment="1" applyProtection="1">
      <alignment horizontal="center"/>
      <protection locked="0"/>
    </xf>
    <xf numFmtId="0" fontId="3" fillId="0" borderId="17" xfId="0" applyFont="1" applyBorder="1" applyAlignment="1" applyProtection="1">
      <alignment horizontal="center"/>
      <protection locked="0"/>
    </xf>
    <xf numFmtId="0" fontId="3" fillId="0" borderId="18" xfId="0" applyFont="1" applyBorder="1" applyAlignment="1" applyProtection="1">
      <alignment horizontal="center"/>
      <protection locked="0"/>
    </xf>
    <xf numFmtId="0" fontId="12" fillId="3" borderId="8" xfId="0" applyFont="1" applyFill="1" applyBorder="1" applyAlignment="1">
      <alignment horizontal="center"/>
    </xf>
    <xf numFmtId="0" fontId="12" fillId="3" borderId="0" xfId="0" applyFont="1" applyFill="1" applyAlignment="1">
      <alignment horizontal="center"/>
    </xf>
    <xf numFmtId="0" fontId="12" fillId="3" borderId="9" xfId="0" applyFont="1" applyFill="1" applyBorder="1" applyAlignment="1">
      <alignment horizontal="center"/>
    </xf>
    <xf numFmtId="0" fontId="12" fillId="3" borderId="10" xfId="0" applyFont="1" applyFill="1" applyBorder="1" applyAlignment="1">
      <alignment horizontal="center"/>
    </xf>
    <xf numFmtId="0" fontId="12" fillId="3" borderId="11" xfId="0" applyFont="1" applyFill="1" applyBorder="1" applyAlignment="1">
      <alignment horizontal="center"/>
    </xf>
    <xf numFmtId="0" fontId="3" fillId="0" borderId="2" xfId="0" applyFont="1" applyBorder="1" applyAlignment="1" applyProtection="1">
      <alignment horizontal="center" vertical="center"/>
      <protection locked="0"/>
    </xf>
    <xf numFmtId="0" fontId="3" fillId="0" borderId="3" xfId="0" applyFont="1" applyBorder="1" applyAlignment="1" applyProtection="1">
      <alignment horizontal="center" vertical="center"/>
      <protection locked="0"/>
    </xf>
    <xf numFmtId="44" fontId="3" fillId="0" borderId="1" xfId="1" applyFont="1" applyBorder="1" applyAlignment="1" applyProtection="1">
      <alignment horizontal="center"/>
      <protection locked="0"/>
    </xf>
    <xf numFmtId="0" fontId="3" fillId="0" borderId="1" xfId="0" applyFont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center"/>
      <protection locked="0"/>
    </xf>
    <xf numFmtId="0" fontId="3" fillId="0" borderId="6" xfId="0" applyFont="1" applyBorder="1" applyAlignment="1" applyProtection="1">
      <alignment horizontal="center"/>
      <protection locked="0"/>
    </xf>
    <xf numFmtId="166" fontId="3" fillId="0" borderId="2" xfId="1" applyNumberFormat="1" applyFont="1" applyBorder="1" applyAlignment="1" applyProtection="1">
      <alignment horizontal="center"/>
      <protection locked="0"/>
    </xf>
    <xf numFmtId="0" fontId="13" fillId="2" borderId="8" xfId="0" applyFont="1" applyFill="1" applyBorder="1" applyAlignment="1">
      <alignment horizontal="center" vertical="center"/>
    </xf>
    <xf numFmtId="0" fontId="13" fillId="2" borderId="9" xfId="0" applyFont="1" applyFill="1" applyBorder="1" applyAlignment="1">
      <alignment horizontal="center" vertical="center"/>
    </xf>
    <xf numFmtId="0" fontId="13" fillId="2" borderId="14" xfId="0" applyFont="1" applyFill="1" applyBorder="1" applyAlignment="1">
      <alignment horizontal="center" vertical="center"/>
    </xf>
    <xf numFmtId="0" fontId="13" fillId="2" borderId="6" xfId="0" applyFont="1" applyFill="1" applyBorder="1" applyAlignment="1">
      <alignment horizontal="center" vertical="center"/>
    </xf>
    <xf numFmtId="44" fontId="3" fillId="0" borderId="2" xfId="2" applyNumberFormat="1" applyFont="1" applyBorder="1" applyAlignment="1" applyProtection="1">
      <alignment horizontal="center"/>
      <protection locked="0"/>
    </xf>
    <xf numFmtId="44" fontId="3" fillId="0" borderId="3" xfId="2" applyNumberFormat="1" applyFont="1" applyBorder="1" applyAlignment="1" applyProtection="1">
      <alignment horizontal="center"/>
      <protection locked="0"/>
    </xf>
    <xf numFmtId="0" fontId="12" fillId="3" borderId="12" xfId="0" applyFont="1" applyFill="1" applyBorder="1" applyAlignment="1">
      <alignment horizontal="center"/>
    </xf>
    <xf numFmtId="0" fontId="12" fillId="3" borderId="4" xfId="0" applyFont="1" applyFill="1" applyBorder="1" applyAlignment="1">
      <alignment horizontal="center"/>
    </xf>
    <xf numFmtId="0" fontId="12" fillId="3" borderId="13" xfId="0" applyFont="1" applyFill="1" applyBorder="1" applyAlignment="1">
      <alignment horizontal="center"/>
    </xf>
    <xf numFmtId="9" fontId="3" fillId="0" borderId="2" xfId="0" applyNumberFormat="1" applyFont="1" applyBorder="1" applyAlignment="1" applyProtection="1">
      <alignment horizontal="center"/>
      <protection locked="0"/>
    </xf>
    <xf numFmtId="9" fontId="3" fillId="0" borderId="3" xfId="0" applyNumberFormat="1" applyFont="1" applyBorder="1" applyAlignment="1" applyProtection="1">
      <alignment horizontal="center"/>
      <protection locked="0"/>
    </xf>
    <xf numFmtId="0" fontId="3" fillId="0" borderId="10" xfId="0" applyFont="1" applyBorder="1" applyAlignment="1" applyProtection="1">
      <alignment horizontal="center"/>
      <protection locked="0"/>
    </xf>
    <xf numFmtId="0" fontId="3" fillId="0" borderId="29" xfId="0" applyFont="1" applyBorder="1" applyAlignment="1" applyProtection="1">
      <alignment horizontal="center"/>
      <protection locked="0"/>
    </xf>
    <xf numFmtId="9" fontId="3" fillId="0" borderId="1" xfId="2" applyFont="1" applyBorder="1" applyAlignment="1" applyProtection="1">
      <alignment horizontal="center"/>
      <protection locked="0"/>
    </xf>
    <xf numFmtId="166" fontId="3" fillId="0" borderId="1" xfId="1" applyNumberFormat="1" applyFont="1" applyBorder="1" applyAlignment="1" applyProtection="1">
      <alignment horizontal="center"/>
      <protection locked="0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5" fillId="2" borderId="1" xfId="0" applyFont="1" applyFill="1" applyBorder="1" applyAlignment="1">
      <alignment horizontal="center" vertical="center"/>
    </xf>
    <xf numFmtId="0" fontId="9" fillId="0" borderId="7" xfId="0" applyFont="1" applyBorder="1" applyAlignment="1">
      <alignment horizontal="center"/>
    </xf>
    <xf numFmtId="0" fontId="16" fillId="5" borderId="5" xfId="3" applyNumberFormat="1" applyFont="1" applyFill="1" applyBorder="1" applyAlignment="1" applyProtection="1">
      <alignment horizontal="center"/>
      <protection locked="0"/>
    </xf>
    <xf numFmtId="0" fontId="1" fillId="0" borderId="0" xfId="0" applyFont="1" applyAlignment="1">
      <alignment horizontal="center"/>
    </xf>
  </cellXfs>
  <cellStyles count="4">
    <cellStyle name="Milliers" xfId="3" builtinId="3"/>
    <cellStyle name="Monétaire" xfId="1" builtinId="4"/>
    <cellStyle name="Normal" xfId="0" builtinId="0"/>
    <cellStyle name="Pourcentage" xfId="2" builtinId="5"/>
  </cellStyles>
  <dxfs count="587">
    <dxf>
      <font>
        <b/>
        <i val="0"/>
        <u/>
        <color rgb="FFFF0000"/>
      </font>
    </dxf>
    <dxf>
      <font>
        <b/>
        <i val="0"/>
        <u/>
        <color rgb="FFFF0000"/>
      </font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  <dxf>
      <fill>
        <patternFill>
          <bgColor rgb="FFFCC0C0"/>
        </patternFill>
      </fill>
    </dxf>
  </dxfs>
  <tableStyles count="0" defaultTableStyle="TableStyleMedium2" defaultPivotStyle="PivotStyleLight16"/>
  <colors>
    <mruColors>
      <color rgb="FFC1AB8D"/>
      <color rgb="FFFFCCCC"/>
      <color rgb="FFFF00FF"/>
      <color rgb="FFFF5757"/>
      <color rgb="FF11183B"/>
      <color rgb="FFFFAFAF"/>
      <color rgb="FFFCBEAA"/>
      <color rgb="FFFDCEBF"/>
      <color rgb="FFFFCDCD"/>
      <color rgb="FFFC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584003</xdr:colOff>
      <xdr:row>29</xdr:row>
      <xdr:rowOff>105505</xdr:rowOff>
    </xdr:from>
    <xdr:to>
      <xdr:col>4</xdr:col>
      <xdr:colOff>1259253</xdr:colOff>
      <xdr:row>33</xdr:row>
      <xdr:rowOff>68355</xdr:rowOff>
    </xdr:to>
    <xdr:sp macro="[0]!FiltresVersQuestionnaire" textlink="Traduction!C331">
      <xdr:nvSpPr>
        <xdr:cNvPr id="8" name="Arrow: Right 7">
          <a:extLst>
            <a:ext uri="{FF2B5EF4-FFF2-40B4-BE49-F238E27FC236}">
              <a16:creationId xmlns:a16="http://schemas.microsoft.com/office/drawing/2014/main" id="{3448813D-6967-4F7F-A94C-67915DD4CBFB}"/>
            </a:ext>
          </a:extLst>
        </xdr:cNvPr>
        <xdr:cNvSpPr/>
      </xdr:nvSpPr>
      <xdr:spPr>
        <a:xfrm>
          <a:off x="9435518" y="5243232"/>
          <a:ext cx="1435326" cy="694062"/>
        </a:xfrm>
        <a:prstGeom prst="rightArrow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CFE7EFF-4BB8-4354-BF0B-C1EEDC68619E}" type="TxLink">
            <a:rPr lang="en-US" sz="1200" b="0" i="0" u="none" strike="noStrike">
              <a:solidFill>
                <a:schemeClr val="bg1"/>
              </a:solidFill>
              <a:effectLst/>
              <a:latin typeface="+mj-lt"/>
              <a:ea typeface="+mn-ea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Page suivante</a:t>
          </a:fld>
          <a:endParaRPr lang="fr-CA" sz="1400">
            <a:solidFill>
              <a:schemeClr val="bg1"/>
            </a:solidFill>
            <a:effectLst/>
            <a:latin typeface="+mj-lt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682625</xdr:colOff>
      <xdr:row>11</xdr:row>
      <xdr:rowOff>83343</xdr:rowOff>
    </xdr:from>
    <xdr:to>
      <xdr:col>8</xdr:col>
      <xdr:colOff>699293</xdr:colOff>
      <xdr:row>15</xdr:row>
      <xdr:rowOff>142874</xdr:rowOff>
    </xdr:to>
    <xdr:sp macro="[0]!QuestionnaireVersDocs" textlink="Traduction!C331">
      <xdr:nvSpPr>
        <xdr:cNvPr id="3" name="Arrow: Right 2">
          <a:extLst>
            <a:ext uri="{FF2B5EF4-FFF2-40B4-BE49-F238E27FC236}">
              <a16:creationId xmlns:a16="http://schemas.microsoft.com/office/drawing/2014/main" id="{109ECFE9-4019-4C0C-80C6-FBCF985A420A}"/>
            </a:ext>
          </a:extLst>
        </xdr:cNvPr>
        <xdr:cNvSpPr/>
      </xdr:nvSpPr>
      <xdr:spPr>
        <a:xfrm>
          <a:off x="11981656" y="1690687"/>
          <a:ext cx="1897856" cy="809625"/>
        </a:xfrm>
        <a:prstGeom prst="rightArrow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7A752E9-66A8-491C-B171-4B47431B673F}" type="TxLink">
            <a:rPr lang="en-US" sz="1200" b="0" i="0" u="none" strike="noStrike">
              <a:solidFill>
                <a:schemeClr val="bg1"/>
              </a:solidFill>
              <a:effectLst/>
              <a:latin typeface="+mj-lt"/>
              <a:ea typeface="+mn-ea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Page suivante</a:t>
          </a:fld>
          <a:endParaRPr lang="fr-CA" sz="1400">
            <a:solidFill>
              <a:schemeClr val="bg1"/>
            </a:solidFill>
            <a:effectLst/>
            <a:latin typeface="+mj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586750</xdr:colOff>
      <xdr:row>2</xdr:row>
      <xdr:rowOff>172424</xdr:rowOff>
    </xdr:from>
    <xdr:to>
      <xdr:col>8</xdr:col>
      <xdr:colOff>568547</xdr:colOff>
      <xdr:row>7</xdr:row>
      <xdr:rowOff>59070</xdr:rowOff>
    </xdr:to>
    <xdr:sp macro="[0]!QuestionnaireVersFiltres" textlink="Traduction!C332">
      <xdr:nvSpPr>
        <xdr:cNvPr id="4" name="Arrow: Left 3">
          <a:extLst>
            <a:ext uri="{FF2B5EF4-FFF2-40B4-BE49-F238E27FC236}">
              <a16:creationId xmlns:a16="http://schemas.microsoft.com/office/drawing/2014/main" id="{6AF7A5C6-335D-B973-FFD4-8D1EEF50AA24}"/>
            </a:ext>
          </a:extLst>
        </xdr:cNvPr>
        <xdr:cNvSpPr/>
      </xdr:nvSpPr>
      <xdr:spPr>
        <a:xfrm>
          <a:off x="11869076" y="541610"/>
          <a:ext cx="1857262" cy="809611"/>
        </a:xfrm>
        <a:prstGeom prst="leftArrow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CCA0A298-7B3F-4271-B9A9-F186C333ECD7}" type="TxLink">
            <a:rPr lang="en-US" sz="1200" b="0" i="0" u="none" strike="noStrike">
              <a:solidFill>
                <a:schemeClr val="bg1"/>
              </a:solidFill>
              <a:latin typeface="+mj-lt"/>
              <a:cs typeface="Calibri"/>
            </a:rPr>
            <a:pPr algn="ctr"/>
            <a:t>Page précédente</a:t>
          </a:fld>
          <a:endParaRPr lang="fr-CA" sz="1400">
            <a:solidFill>
              <a:schemeClr val="bg1"/>
            </a:solidFill>
            <a:latin typeface="+mj-lt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431054</xdr:colOff>
      <xdr:row>21</xdr:row>
      <xdr:rowOff>76200</xdr:rowOff>
    </xdr:from>
    <xdr:to>
      <xdr:col>5</xdr:col>
      <xdr:colOff>344304</xdr:colOff>
      <xdr:row>25</xdr:row>
      <xdr:rowOff>16825</xdr:rowOff>
    </xdr:to>
    <xdr:sp macro="[0]!DocsVersSignature" textlink="Traduction!C331">
      <xdr:nvSpPr>
        <xdr:cNvPr id="4" name="Arrow: Right 3">
          <a:extLst>
            <a:ext uri="{FF2B5EF4-FFF2-40B4-BE49-F238E27FC236}">
              <a16:creationId xmlns:a16="http://schemas.microsoft.com/office/drawing/2014/main" id="{70EACBA7-534F-43EE-9E48-62EEFD60F883}"/>
            </a:ext>
          </a:extLst>
        </xdr:cNvPr>
        <xdr:cNvSpPr/>
      </xdr:nvSpPr>
      <xdr:spPr>
        <a:xfrm>
          <a:off x="7765304" y="3876675"/>
          <a:ext cx="1437250" cy="664525"/>
        </a:xfrm>
        <a:prstGeom prst="rightArrow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DFBC2A1-47F4-4827-80AD-0C09A9933967}" type="TxLink">
            <a:rPr lang="en-US" sz="1200" b="0" i="0" u="none" strike="noStrike">
              <a:solidFill>
                <a:schemeClr val="bg1"/>
              </a:solidFill>
              <a:effectLst/>
              <a:latin typeface="+mj-lt"/>
              <a:ea typeface="+mn-ea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Page suivante</a:t>
          </a:fld>
          <a:endParaRPr lang="fr-CA" sz="1400">
            <a:solidFill>
              <a:schemeClr val="bg1"/>
            </a:solidFill>
            <a:effectLst/>
            <a:latin typeface="+mj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370205</xdr:colOff>
      <xdr:row>0</xdr:row>
      <xdr:rowOff>173841</xdr:rowOff>
    </xdr:from>
    <xdr:to>
      <xdr:col>5</xdr:col>
      <xdr:colOff>345814</xdr:colOff>
      <xdr:row>4</xdr:row>
      <xdr:rowOff>117064</xdr:rowOff>
    </xdr:to>
    <xdr:sp macro="[0]!DocsVersQuestionnaire" textlink="Traduction!C332">
      <xdr:nvSpPr>
        <xdr:cNvPr id="5" name="Arrow: Left 4">
          <a:extLst>
            <a:ext uri="{FF2B5EF4-FFF2-40B4-BE49-F238E27FC236}">
              <a16:creationId xmlns:a16="http://schemas.microsoft.com/office/drawing/2014/main" id="{B9FA5C9B-0E45-455A-BF12-2897D8F36AD8}"/>
            </a:ext>
          </a:extLst>
        </xdr:cNvPr>
        <xdr:cNvSpPr/>
      </xdr:nvSpPr>
      <xdr:spPr>
        <a:xfrm>
          <a:off x="7704455" y="173841"/>
          <a:ext cx="1499609" cy="667123"/>
        </a:xfrm>
        <a:prstGeom prst="leftArrow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24B8FD8-C0E2-4157-A126-7C14B5BCBC80}" type="TxLink">
            <a:rPr lang="en-US" sz="1200" b="0" i="0" u="none" strike="noStrike">
              <a:solidFill>
                <a:schemeClr val="bg1"/>
              </a:solidFill>
              <a:latin typeface="+mj-lt"/>
              <a:cs typeface="Calibri"/>
            </a:rPr>
            <a:pPr algn="ctr"/>
            <a:t>Page précédente</a:t>
          </a:fld>
          <a:endParaRPr lang="fr-CA" sz="1400">
            <a:solidFill>
              <a:schemeClr val="bg1"/>
            </a:solidFill>
            <a:latin typeface="+mj-lt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69850</xdr:colOff>
      <xdr:row>0</xdr:row>
      <xdr:rowOff>45571</xdr:rowOff>
    </xdr:from>
    <xdr:to>
      <xdr:col>11</xdr:col>
      <xdr:colOff>749674</xdr:colOff>
      <xdr:row>3</xdr:row>
      <xdr:rowOff>172944</xdr:rowOff>
    </xdr:to>
    <xdr:sp macro="[0]!SignatureVersDocs" textlink="Traduction!C332">
      <xdr:nvSpPr>
        <xdr:cNvPr id="6" name="Arrow: Left 5">
          <a:extLst>
            <a:ext uri="{FF2B5EF4-FFF2-40B4-BE49-F238E27FC236}">
              <a16:creationId xmlns:a16="http://schemas.microsoft.com/office/drawing/2014/main" id="{9B4FC2D2-11BF-42E5-B3B2-C5A655FC0FFD}"/>
            </a:ext>
          </a:extLst>
        </xdr:cNvPr>
        <xdr:cNvSpPr/>
      </xdr:nvSpPr>
      <xdr:spPr>
        <a:xfrm>
          <a:off x="8042628" y="45571"/>
          <a:ext cx="1441824" cy="677706"/>
        </a:xfrm>
        <a:prstGeom prst="leftArrow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23B782E0-2832-41E2-8BA6-744A56DCD26A}" type="TxLink">
            <a:rPr lang="en-US" sz="1200" b="0" i="0" u="none" strike="noStrike">
              <a:solidFill>
                <a:schemeClr val="bg1"/>
              </a:solidFill>
              <a:latin typeface="+mj-lt"/>
              <a:cs typeface="Calibri"/>
            </a:rPr>
            <a:pPr algn="ctr"/>
            <a:t>Page précédente</a:t>
          </a:fld>
          <a:endParaRPr lang="fr-CA" sz="1400">
            <a:solidFill>
              <a:schemeClr val="bg1"/>
            </a:solidFill>
            <a:latin typeface="+mj-lt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ersonal/william_landini_sfl_ca/Documents/Bureau/Calcul%20CB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lcul CBR"/>
      <sheetName val="Note"/>
      <sheetName val="Donnée"/>
    </sheetNames>
    <sheetDataSet>
      <sheetData sheetId="0" refreshError="1"/>
      <sheetData sheetId="1" refreshError="1"/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BD81E8-59F4-4FA9-AF8B-82A1491CAD9E}">
  <sheetPr codeName="Feuil1">
    <tabColor theme="5" tint="0.79998168889431442"/>
  </sheetPr>
  <dimension ref="A1:F34"/>
  <sheetViews>
    <sheetView showGridLines="0" zoomScale="95" zoomScaleNormal="100" workbookViewId="0">
      <selection activeCell="A22" sqref="A22"/>
    </sheetView>
  </sheetViews>
  <sheetFormatPr baseColWidth="10" defaultColWidth="10.73046875" defaultRowHeight="14.25" x14ac:dyDescent="0.45"/>
  <cols>
    <col min="1" max="1" width="96.265625" customWidth="1"/>
    <col min="2" max="2" width="14.265625" customWidth="1"/>
    <col min="3" max="3" width="16.3984375" customWidth="1"/>
    <col min="5" max="5" width="30.73046875" bestFit="1" customWidth="1"/>
    <col min="6" max="6" width="28.265625" customWidth="1"/>
  </cols>
  <sheetData>
    <row r="1" spans="1:6" ht="14.65" customHeight="1" x14ac:dyDescent="0.45">
      <c r="A1" s="126" t="str">
        <f>Traduction!C2</f>
        <v>Optimisation fiscale</v>
      </c>
      <c r="B1" s="127"/>
      <c r="C1" s="128"/>
    </row>
    <row r="2" spans="1:6" ht="14.65" customHeight="1" x14ac:dyDescent="0.45">
      <c r="A2" s="129"/>
      <c r="B2" s="130"/>
      <c r="C2" s="131"/>
      <c r="D2" s="8"/>
      <c r="E2" s="8"/>
    </row>
    <row r="3" spans="1:6" ht="14.65" customHeight="1" x14ac:dyDescent="0.45">
      <c r="A3" s="132"/>
      <c r="B3" s="133"/>
      <c r="C3" s="134"/>
    </row>
    <row r="4" spans="1:6" ht="14.65" customHeight="1" x14ac:dyDescent="0.45">
      <c r="A4" s="135" t="str">
        <f>Traduction!C3</f>
        <v>Veuillez sélectionner tous les éléments applicables et ensuite remplir le questionnaire</v>
      </c>
      <c r="B4" s="136"/>
      <c r="C4" s="137"/>
    </row>
    <row r="5" spans="1:6" ht="14.65" customHeight="1" x14ac:dyDescent="0.45">
      <c r="A5" s="2" t="str">
        <f>Traduction!C4</f>
        <v>Langue</v>
      </c>
      <c r="B5" s="120" t="s">
        <v>0</v>
      </c>
      <c r="C5" s="120"/>
      <c r="E5" s="57"/>
    </row>
    <row r="6" spans="1:6" ht="14.65" customHeight="1" x14ac:dyDescent="0.45">
      <c r="A6" s="2" t="str">
        <f>Traduction!C5</f>
        <v>Nombre de clients</v>
      </c>
      <c r="B6" s="120">
        <v>2</v>
      </c>
      <c r="C6" s="120"/>
    </row>
    <row r="7" spans="1:6" x14ac:dyDescent="0.45">
      <c r="A7" s="2" t="str">
        <f>Traduction!C6</f>
        <v>Nombre d'enfants à charge</v>
      </c>
      <c r="B7" s="120">
        <v>3</v>
      </c>
      <c r="C7" s="120"/>
    </row>
    <row r="8" spans="1:6" x14ac:dyDescent="0.45">
      <c r="A8" s="2" t="str">
        <f>Traduction!C7</f>
        <v>Un des clients possède une ou plusieurs sociétés</v>
      </c>
      <c r="B8" s="124" t="s">
        <v>5</v>
      </c>
      <c r="C8" s="125" t="s">
        <v>1</v>
      </c>
    </row>
    <row r="9" spans="1:6" x14ac:dyDescent="0.45">
      <c r="A9" s="2" t="str">
        <f>Traduction!C8</f>
        <v>Un des clients est salarié (en dehors de son entreprise ou de celle de son conjoint)</v>
      </c>
      <c r="B9" s="120" t="s">
        <v>5</v>
      </c>
      <c r="C9" s="120"/>
    </row>
    <row r="10" spans="1:6" x14ac:dyDescent="0.45">
      <c r="A10" s="2" t="str">
        <f>Traduction!C9</f>
        <v>Un des clients possède un fonds de pension</v>
      </c>
      <c r="B10" s="120" t="s">
        <v>608</v>
      </c>
      <c r="C10" s="120"/>
    </row>
    <row r="11" spans="1:6" x14ac:dyDescent="0.45">
      <c r="A11" s="2" t="str">
        <f>Traduction!C10</f>
        <v>Le conjoint possède un fonds de pension différent du client</v>
      </c>
      <c r="B11" s="120" t="s">
        <v>1</v>
      </c>
      <c r="C11" s="120"/>
    </row>
    <row r="12" spans="1:6" ht="15.6" customHeight="1" x14ac:dyDescent="0.45">
      <c r="A12" s="2" t="str">
        <f>Traduction!C11</f>
        <v>Un des clients possède un RPDB</v>
      </c>
      <c r="B12" s="120" t="s">
        <v>1</v>
      </c>
      <c r="C12" s="120"/>
      <c r="E12" s="5"/>
      <c r="F12" s="5"/>
    </row>
    <row r="13" spans="1:6" x14ac:dyDescent="0.45">
      <c r="A13" s="2" t="str">
        <f>Traduction!C12</f>
        <v>Un des clients possède un RR-E ou un RRI</v>
      </c>
      <c r="B13" s="120" t="s">
        <v>1</v>
      </c>
      <c r="C13" s="120"/>
    </row>
    <row r="14" spans="1:6" x14ac:dyDescent="0.45">
      <c r="A14" s="2" t="str">
        <f>Traduction!C13</f>
        <v>Un des clients est travailleur autonome</v>
      </c>
      <c r="B14" s="120" t="s">
        <v>1</v>
      </c>
      <c r="C14" s="120"/>
      <c r="F14" s="8"/>
    </row>
    <row r="15" spans="1:6" x14ac:dyDescent="0.45">
      <c r="A15" s="2" t="str">
        <f>Traduction!C14</f>
        <v>Nombre de société(s) de gestion</v>
      </c>
      <c r="B15" s="120">
        <v>1</v>
      </c>
      <c r="C15" s="120"/>
    </row>
    <row r="16" spans="1:6" x14ac:dyDescent="0.45">
      <c r="A16" s="2" t="str">
        <f>Traduction!C15</f>
        <v>Nombre de société(s) opérante(s)</v>
      </c>
      <c r="B16" s="120">
        <v>1</v>
      </c>
      <c r="C16" s="120"/>
      <c r="E16" s="123"/>
      <c r="F16" s="123"/>
    </row>
    <row r="17" spans="1:3" x14ac:dyDescent="0.45">
      <c r="A17" s="2" t="str">
        <f>Traduction!C16</f>
        <v>Nombre de fiducie(s)</v>
      </c>
      <c r="B17" s="120">
        <v>0</v>
      </c>
      <c r="C17" s="120"/>
    </row>
    <row r="18" spans="1:3" x14ac:dyDescent="0.45">
      <c r="A18" s="2" t="str">
        <f>Traduction!C17</f>
        <v>Nombre de société(s) en nom collectif (S.E.N.C)</v>
      </c>
      <c r="B18" s="120">
        <v>0</v>
      </c>
      <c r="C18" s="120"/>
    </row>
    <row r="19" spans="1:3" x14ac:dyDescent="0.45">
      <c r="A19" s="2" t="str">
        <f>Traduction!C18</f>
        <v>Nombre d'immeubles à revenus détenus personnellement par l'un des clients</v>
      </c>
      <c r="B19" s="120">
        <v>1</v>
      </c>
      <c r="C19" s="120"/>
    </row>
    <row r="20" spans="1:3" x14ac:dyDescent="0.45">
      <c r="A20" s="2" t="str">
        <f>Traduction!C19</f>
        <v>Nombre d'immeubles à revenus détenus dans une société par l'un des clients</v>
      </c>
      <c r="B20" s="120">
        <v>1</v>
      </c>
      <c r="C20" s="120"/>
    </row>
    <row r="21" spans="1:3" x14ac:dyDescent="0.45">
      <c r="A21" s="2" t="str">
        <f>Traduction!C20</f>
        <v xml:space="preserve">Nombre de polices d'assurance-vie personnelles détenues par les clients </v>
      </c>
      <c r="B21" s="120">
        <v>1</v>
      </c>
      <c r="C21" s="120"/>
    </row>
    <row r="22" spans="1:3" x14ac:dyDescent="0.45">
      <c r="A22" s="2" t="str">
        <f>Traduction!C21</f>
        <v>Nombre de polices d'assurances corporatives détenues par les sociétés (invalidité, vie, R.E.S)</v>
      </c>
      <c r="B22" s="120">
        <v>10</v>
      </c>
      <c r="C22" s="120"/>
    </row>
    <row r="23" spans="1:3" x14ac:dyDescent="0.45">
      <c r="A23" s="2" t="str">
        <f>Traduction!C22</f>
        <v>Nombre d'autres actifs (détenus personnellement et corporativement) excluant les immeubles à revenus</v>
      </c>
      <c r="B23" s="120">
        <v>1</v>
      </c>
      <c r="C23" s="120"/>
    </row>
    <row r="24" spans="1:3" x14ac:dyDescent="0.45">
      <c r="A24" s="2" t="str">
        <f>Traduction!C23</f>
        <v>Je joins une copie des relevés de cotisation détaillé au RRQ/RPC pour chacun des clients</v>
      </c>
      <c r="B24" s="120" t="s">
        <v>1</v>
      </c>
      <c r="C24" s="120"/>
    </row>
    <row r="25" spans="1:3" x14ac:dyDescent="0.45">
      <c r="A25" s="2" t="str">
        <f>Traduction!C24</f>
        <v>J'aimerais effectuer une optimisation salaire/dividendes (relevé détaillé des cotisations RRQ requis)</v>
      </c>
      <c r="B25" s="120" t="s">
        <v>1</v>
      </c>
      <c r="C25" s="120"/>
    </row>
    <row r="26" spans="1:3" x14ac:dyDescent="0.45">
      <c r="A26" s="2" t="str">
        <f>Traduction!C25</f>
        <v>J'aimerais illustrer la vente d'une ou plusieurs entreprises dans les projections</v>
      </c>
      <c r="B26" s="120">
        <v>1</v>
      </c>
      <c r="C26" s="120"/>
    </row>
    <row r="27" spans="1:3" x14ac:dyDescent="0.45">
      <c r="A27" s="2" t="str">
        <f>Traduction!C26</f>
        <v>Le(s) client(s) prévoit(ent) combien de dépenses extraordinaires dans les prochaines années</v>
      </c>
      <c r="B27" s="120">
        <v>0</v>
      </c>
      <c r="C27" s="120"/>
    </row>
    <row r="28" spans="1:3" x14ac:dyDescent="0.45">
      <c r="A28" s="2" t="str">
        <f>Traduction!C27</f>
        <v>Le(s) client(s) prévoit(ent) combien d'entrées d'argent extraordinaires dans les prochaines années (ex.: héritage)</v>
      </c>
      <c r="B28" s="120">
        <v>0</v>
      </c>
      <c r="C28" s="120"/>
    </row>
    <row r="29" spans="1:3" x14ac:dyDescent="0.45">
      <c r="A29" s="121" t="str">
        <f>Traduction!C28</f>
        <v>Ajouter des concepts complémentaires</v>
      </c>
      <c r="B29" s="122"/>
      <c r="C29" s="122"/>
    </row>
    <row r="30" spans="1:3" x14ac:dyDescent="0.45">
      <c r="A30" s="6" t="str">
        <f>Traduction!C29</f>
        <v>Assurance vie personnelle (nouvelle)</v>
      </c>
      <c r="B30" s="120" t="s">
        <v>5</v>
      </c>
      <c r="C30" s="120"/>
    </row>
    <row r="31" spans="1:3" x14ac:dyDescent="0.45">
      <c r="A31" s="6" t="str">
        <f>Traduction!C30</f>
        <v>Assurance vie corporative (nouvelle)</v>
      </c>
      <c r="B31" s="120" t="s">
        <v>5</v>
      </c>
      <c r="C31" s="120"/>
    </row>
    <row r="32" spans="1:3" x14ac:dyDescent="0.45">
      <c r="A32" s="6" t="str">
        <f>Traduction!C31</f>
        <v>R.E.S. (nouveau)</v>
      </c>
      <c r="B32" s="120" t="s">
        <v>1</v>
      </c>
      <c r="C32" s="120"/>
    </row>
    <row r="33" spans="1:3" x14ac:dyDescent="0.45">
      <c r="A33" s="6" t="str">
        <f>Traduction!C32</f>
        <v>RR-E (nouveau)</v>
      </c>
      <c r="B33" s="120" t="s">
        <v>1</v>
      </c>
      <c r="C33" s="120"/>
    </row>
    <row r="34" spans="1:3" x14ac:dyDescent="0.45">
      <c r="A34" s="6" t="str">
        <f>Traduction!C33</f>
        <v>Rente (nouvelle)</v>
      </c>
      <c r="B34" s="120" t="s">
        <v>1</v>
      </c>
      <c r="C34" s="120"/>
    </row>
  </sheetData>
  <sheetProtection algorithmName="SHA-512" hashValue="794r5KoIs2YLyBMVJhg1jx23n4OpiJpSxlpgoEbHPJTQMOQTnItW/65HczHf3DfQvX2Zrsyij+v6NK1HT3eY2A==" saltValue="BS9b+Rhb0u9IgYCHsHZcew==" spinCount="100000" sheet="1" objects="1" scenarios="1" formatCells="0" formatColumns="0" formatRows="0"/>
  <mergeCells count="33">
    <mergeCell ref="B8:C8"/>
    <mergeCell ref="A1:C3"/>
    <mergeCell ref="B26:C26"/>
    <mergeCell ref="B13:C13"/>
    <mergeCell ref="B27:C27"/>
    <mergeCell ref="B7:C7"/>
    <mergeCell ref="B9:C9"/>
    <mergeCell ref="B14:C14"/>
    <mergeCell ref="B6:C6"/>
    <mergeCell ref="B10:C10"/>
    <mergeCell ref="B12:C12"/>
    <mergeCell ref="B15:C15"/>
    <mergeCell ref="B16:C16"/>
    <mergeCell ref="B17:C17"/>
    <mergeCell ref="A4:C4"/>
    <mergeCell ref="B5:C5"/>
    <mergeCell ref="E16:F16"/>
    <mergeCell ref="B24:C24"/>
    <mergeCell ref="B19:C19"/>
    <mergeCell ref="B20:C20"/>
    <mergeCell ref="B21:C21"/>
    <mergeCell ref="B22:C22"/>
    <mergeCell ref="B18:C18"/>
    <mergeCell ref="B23:C23"/>
    <mergeCell ref="B31:C31"/>
    <mergeCell ref="B11:C11"/>
    <mergeCell ref="B34:C34"/>
    <mergeCell ref="B32:C32"/>
    <mergeCell ref="B33:C33"/>
    <mergeCell ref="A29:C29"/>
    <mergeCell ref="B28:C28"/>
    <mergeCell ref="B25:C25"/>
    <mergeCell ref="B30:C30"/>
  </mergeCells>
  <dataValidations count="5">
    <dataValidation type="list" allowBlank="1" showInputMessage="1" showErrorMessage="1" sqref="B7:C7" xr:uid="{1F874F79-AD49-4895-B012-3EED91FDFB22}">
      <formula1>"0,1,2,3,4"</formula1>
    </dataValidation>
    <dataValidation type="list" allowBlank="1" showInputMessage="1" showErrorMessage="1" sqref="B16:C22 B26:C26" xr:uid="{4F25310E-A640-4C68-919E-429B7B5145A5}">
      <formula1>"0,1,2,3,4,5,6,7,8,9,10"</formula1>
    </dataValidation>
    <dataValidation type="list" allowBlank="1" showInputMessage="1" showErrorMessage="1" sqref="B27:C28 B23:C23 B15:C15" xr:uid="{8F47534D-5F5F-48B2-B3E7-1449DE086E3E}">
      <formula1>"0,1,2,3,4,5"</formula1>
    </dataValidation>
    <dataValidation type="list" allowBlank="1" showInputMessage="1" showErrorMessage="1" sqref="B6:C6" xr:uid="{9B0B8155-A1A0-467B-8784-7681199F0AC9}">
      <formula1>"1,2"</formula1>
    </dataValidation>
    <dataValidation type="list" allowBlank="1" showInputMessage="1" showErrorMessage="1" sqref="E2 B5:C5" xr:uid="{1D86B941-299A-4B8E-A1DC-05918A104CA8}">
      <formula1>"Français,English"</formula1>
    </dataValidation>
  </dataValidations>
  <pageMargins left="0.70866141732283472" right="0.70866141732283472" top="0.74803149606299213" bottom="0.74803149606299213" header="0.31496062992125984" footer="0.31496062992125984"/>
  <pageSetup scale="120" orientation="portrait" r:id="rId1"/>
  <drawing r:id="rId2"/>
  <picture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9A4A653-4758-4561-9CC3-FC8D701F59A3}">
          <x14:formula1>
            <xm:f>Traduction!$C$315:$C$317</xm:f>
          </x14:formula1>
          <xm:sqref>B10:B11 C10</xm:sqref>
        </x14:dataValidation>
        <x14:dataValidation type="list" allowBlank="1" showInputMessage="1" showErrorMessage="1" xr:uid="{28A7C5A7-F1CC-46CD-8E5D-5D1F0A69CACA}">
          <x14:formula1>
            <xm:f>Traduction!$C$314:$C$315</xm:f>
          </x14:formula1>
          <xm:sqref>B8:C9 B24:C25 B12:C14 B30:C34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330FB-B7D4-4180-AA80-77DB6437A7D8}">
  <sheetPr codeName="Feuil2">
    <tabColor rgb="FF996633"/>
    <pageSetUpPr fitToPage="1"/>
  </sheetPr>
  <dimension ref="A1:H1102"/>
  <sheetViews>
    <sheetView showGridLines="0" showZeros="0" tabSelected="1" zoomScale="86" zoomScaleNormal="80" workbookViewId="0">
      <pane ySplit="2" topLeftCell="A3" activePane="bottomLeft" state="frozen"/>
      <selection activeCell="H5" sqref="H5"/>
      <selection pane="bottomLeft" activeCell="B12" sqref="B12:C12"/>
    </sheetView>
  </sheetViews>
  <sheetFormatPr baseColWidth="10" defaultColWidth="10.73046875" defaultRowHeight="14.25" x14ac:dyDescent="0.45"/>
  <cols>
    <col min="1" max="1" width="98.59765625" bestFit="1" customWidth="1"/>
    <col min="2" max="3" width="31.59765625" customWidth="1"/>
    <col min="4" max="4" width="30.73046875" hidden="1" customWidth="1"/>
    <col min="5" max="5" width="34.3984375" hidden="1" customWidth="1"/>
    <col min="6" max="6" width="91.265625" hidden="1" customWidth="1"/>
    <col min="7" max="7" width="31.59765625" hidden="1" customWidth="1"/>
    <col min="8" max="8" width="26.73046875" customWidth="1"/>
    <col min="9" max="9" width="17.3984375" customWidth="1"/>
    <col min="10" max="10" width="11" customWidth="1"/>
  </cols>
  <sheetData>
    <row r="1" spans="1:7" ht="14.65" customHeight="1" x14ac:dyDescent="0.45">
      <c r="A1" s="130" t="str">
        <f>Traduction!C2</f>
        <v>Optimisation fiscale</v>
      </c>
      <c r="B1" s="176" t="str">
        <f>B6</f>
        <v>Monsieur X</v>
      </c>
      <c r="C1" s="176" t="str">
        <f>C6</f>
        <v>Monsieur Y</v>
      </c>
    </row>
    <row r="2" spans="1:7" ht="14.65" customHeight="1" x14ac:dyDescent="0.45">
      <c r="A2" s="130"/>
      <c r="B2" s="177"/>
      <c r="C2" s="177"/>
    </row>
    <row r="3" spans="1:7" x14ac:dyDescent="0.45">
      <c r="A3" s="2" t="s">
        <v>2</v>
      </c>
      <c r="B3" s="178"/>
      <c r="C3" s="179"/>
      <c r="D3" t="b">
        <f t="shared" ref="D3:D14" si="0">IF(B3="",TRUE)</f>
        <v>1</v>
      </c>
      <c r="F3" s="64" t="str">
        <f>Traduction!C252</f>
        <v>Information obligatoire manquante</v>
      </c>
      <c r="G3" s="64" t="str">
        <f>Traduction!C253</f>
        <v>Nombre d'informations manquantes</v>
      </c>
    </row>
    <row r="4" spans="1:7" x14ac:dyDescent="0.45">
      <c r="A4" s="2" t="str">
        <f>Traduction!C34</f>
        <v>Statut</v>
      </c>
      <c r="B4" s="112"/>
      <c r="C4" s="112"/>
      <c r="D4" t="b">
        <f t="shared" si="0"/>
        <v>1</v>
      </c>
      <c r="E4" s="8" t="b">
        <f t="shared" ref="E4:E15" si="1">IF(NbClients=2,IF(C4="",TRUE),"")</f>
        <v>1</v>
      </c>
      <c r="F4" s="65" t="str">
        <f>IF(G4&gt;0,Traduction!C314,Traduction!C315)</f>
        <v>Oui</v>
      </c>
      <c r="G4" s="65">
        <f>COUNTIF(D3:E1101,"VRAI")</f>
        <v>300</v>
      </c>
    </row>
    <row r="5" spans="1:7" x14ac:dyDescent="0.45">
      <c r="A5" s="2" t="str">
        <f>Traduction!C35</f>
        <v>Sexe</v>
      </c>
      <c r="B5" s="112"/>
      <c r="C5" s="112"/>
      <c r="D5" t="b">
        <f t="shared" si="0"/>
        <v>1</v>
      </c>
      <c r="E5" s="8" t="b">
        <f t="shared" si="1"/>
        <v>1</v>
      </c>
    </row>
    <row r="6" spans="1:7" x14ac:dyDescent="0.45">
      <c r="A6" s="2" t="str">
        <f>Traduction!C36</f>
        <v>Nom complet</v>
      </c>
      <c r="B6" s="90" t="s">
        <v>3</v>
      </c>
      <c r="C6" s="90" t="s">
        <v>4</v>
      </c>
      <c r="D6" t="b">
        <f t="shared" si="0"/>
        <v>0</v>
      </c>
      <c r="E6" s="8" t="b">
        <f t="shared" si="1"/>
        <v>0</v>
      </c>
    </row>
    <row r="7" spans="1:7" x14ac:dyDescent="0.45">
      <c r="A7" s="2" t="s">
        <v>638</v>
      </c>
      <c r="B7" s="90"/>
      <c r="C7" s="90"/>
      <c r="E7" s="8"/>
    </row>
    <row r="8" spans="1:7" x14ac:dyDescent="0.45">
      <c r="A8" s="2" t="s">
        <v>639</v>
      </c>
      <c r="B8" s="90"/>
      <c r="C8" s="90"/>
      <c r="E8" s="8"/>
    </row>
    <row r="9" spans="1:7" x14ac:dyDescent="0.45">
      <c r="A9" s="2" t="str">
        <f>Traduction!C37</f>
        <v>Date de naissance (aaaa-mm-jj)</v>
      </c>
      <c r="B9" s="113"/>
      <c r="C9" s="113"/>
      <c r="D9" t="b">
        <f t="shared" si="0"/>
        <v>1</v>
      </c>
      <c r="E9" s="8" t="b">
        <f t="shared" si="1"/>
        <v>1</v>
      </c>
    </row>
    <row r="10" spans="1:7" ht="13.35" customHeight="1" x14ac:dyDescent="0.45">
      <c r="A10" s="2" t="str">
        <f>Traduction!C38</f>
        <v>Fumeur ou non fumeur</v>
      </c>
      <c r="B10" s="113"/>
      <c r="C10" s="113"/>
      <c r="D10" t="b">
        <f t="shared" si="0"/>
        <v>1</v>
      </c>
      <c r="E10" s="8" t="b">
        <f t="shared" si="1"/>
        <v>1</v>
      </c>
    </row>
    <row r="11" spans="1:7" ht="15" customHeight="1" x14ac:dyDescent="0.45">
      <c r="A11" s="2" t="str">
        <f>Traduction!C39</f>
        <v>Coût de vie du ménage permanent avant la retraite ($) net</v>
      </c>
      <c r="B11" s="180"/>
      <c r="C11" s="180"/>
      <c r="D11" t="b">
        <f t="shared" si="0"/>
        <v>1</v>
      </c>
      <c r="E11" s="8"/>
    </row>
    <row r="12" spans="1:7" ht="15" customHeight="1" x14ac:dyDescent="0.45">
      <c r="A12" s="2" t="str">
        <f>Traduction!C40</f>
        <v>Coût de vie du ménage permanent à la retraite ($) net</v>
      </c>
      <c r="B12" s="180"/>
      <c r="C12" s="180"/>
      <c r="D12" t="b">
        <f t="shared" si="0"/>
        <v>1</v>
      </c>
      <c r="E12" s="8"/>
    </row>
    <row r="13" spans="1:7" ht="15" customHeight="1" x14ac:dyDescent="0.45">
      <c r="A13" s="2" t="str">
        <f>Traduction!C41</f>
        <v xml:space="preserve">Année de retraite </v>
      </c>
      <c r="B13" s="90"/>
      <c r="C13" s="90"/>
      <c r="D13" t="b">
        <f t="shared" si="0"/>
        <v>1</v>
      </c>
      <c r="E13" s="8" t="b">
        <f t="shared" si="1"/>
        <v>1</v>
      </c>
    </row>
    <row r="14" spans="1:7" ht="15" customHeight="1" x14ac:dyDescent="0.45">
      <c r="A14" s="2" t="str">
        <f>Traduction!C42</f>
        <v>Je joins une copie de tous les relevés de placements personnels</v>
      </c>
      <c r="B14" s="91"/>
      <c r="C14" s="91"/>
      <c r="D14" t="b">
        <f t="shared" si="0"/>
        <v>1</v>
      </c>
      <c r="E14" s="8" t="b">
        <f t="shared" si="1"/>
        <v>1</v>
      </c>
    </row>
    <row r="15" spans="1:7" ht="14.65" customHeight="1" x14ac:dyDescent="0.45">
      <c r="A15" s="2" t="str">
        <f>Traduction!C43</f>
        <v>Solde REER total</v>
      </c>
      <c r="B15" s="91" t="str">
        <f>IF(OR($B$14="Oui",$B$14="Yes"),Traduction!$C$327,"")</f>
        <v/>
      </c>
      <c r="C15" s="91" t="str">
        <f>IF(OR($C$14="Oui",$C$14="Yes"),Traduction!$C$327,"")</f>
        <v/>
      </c>
      <c r="D15" t="b">
        <f>IF(B15="",TRUE)</f>
        <v>1</v>
      </c>
      <c r="E15" s="8" t="b">
        <f t="shared" si="1"/>
        <v>1</v>
      </c>
    </row>
    <row r="16" spans="1:7" ht="14.65" customHeight="1" x14ac:dyDescent="0.45">
      <c r="A16" s="2" t="str">
        <f>Traduction!C44</f>
        <v>Solde CÉLI total</v>
      </c>
      <c r="B16" s="91" t="str">
        <f>IF(OR($B$14="Oui",$B$14="Yes"),Traduction!$C$327,"")</f>
        <v/>
      </c>
      <c r="C16" s="91" t="str">
        <f>IF(OR($C$14="Oui",$C$14="Yes"),Traduction!$C$327,"")</f>
        <v/>
      </c>
      <c r="D16" t="b">
        <f t="shared" ref="D16:D26" si="2">IF(B16="",TRUE)</f>
        <v>1</v>
      </c>
      <c r="E16" s="8" t="b">
        <f t="shared" ref="E16:E29" si="3">IF(NbClients=2,IF(C16="",TRUE),"")</f>
        <v>1</v>
      </c>
    </row>
    <row r="17" spans="1:5" ht="14.65" customHeight="1" x14ac:dyDescent="0.45">
      <c r="A17" s="2" t="str">
        <f>Traduction!C45</f>
        <v>Solde non-enregistré total</v>
      </c>
      <c r="B17" s="91" t="str">
        <f>IF(OR($B$14="Oui",$B$14="Yes"),Traduction!$C$327,"")</f>
        <v/>
      </c>
      <c r="C17" s="91" t="str">
        <f>IF(OR($C$14="Oui",$C$14="Yes"),Traduction!$C$327,"")</f>
        <v/>
      </c>
      <c r="D17" t="b">
        <f t="shared" si="2"/>
        <v>1</v>
      </c>
      <c r="E17" s="8" t="b">
        <f t="shared" si="3"/>
        <v>1</v>
      </c>
    </row>
    <row r="18" spans="1:5" ht="14.65" customHeight="1" x14ac:dyDescent="0.45">
      <c r="A18" s="2" t="str">
        <f>Traduction!C46</f>
        <v>Valeur comptable totale des comptes non-enregistrés</v>
      </c>
      <c r="B18" s="91" t="str">
        <f>IF(OR($B$14="Oui",$B$14="Yes"),Traduction!$C$327,"")</f>
        <v/>
      </c>
      <c r="C18" s="91" t="str">
        <f>IF(OR($C$14="Oui",$C$14="Yes"),Traduction!$C$327,"")</f>
        <v/>
      </c>
      <c r="D18" t="b">
        <f t="shared" si="2"/>
        <v>1</v>
      </c>
      <c r="E18" s="8" t="b">
        <f t="shared" si="3"/>
        <v>1</v>
      </c>
    </row>
    <row r="19" spans="1:5" ht="14.65" customHeight="1" x14ac:dyDescent="0.45">
      <c r="A19" s="2" t="str">
        <f>Traduction!C47</f>
        <v>Solde total FERR</v>
      </c>
      <c r="B19" s="91" t="str">
        <f>IF(OR($B$14="Oui",$B$14="Yes"),Traduction!$C$327,"")</f>
        <v/>
      </c>
      <c r="C19" s="91" t="str">
        <f>IF(OR($C$14="Oui",$C$14="Yes"),Traduction!$C$327,"")</f>
        <v/>
      </c>
      <c r="D19" t="b">
        <f t="shared" si="2"/>
        <v>1</v>
      </c>
      <c r="E19" s="8" t="b">
        <f t="shared" si="3"/>
        <v>1</v>
      </c>
    </row>
    <row r="20" spans="1:5" ht="14.65" customHeight="1" x14ac:dyDescent="0.45">
      <c r="A20" s="2" t="str">
        <f>Traduction!C48</f>
        <v>Solde total FRV</v>
      </c>
      <c r="B20" s="91" t="str">
        <f>IF(OR($B$14="Oui",$B$14="Yes"),Traduction!$C$327,"")</f>
        <v/>
      </c>
      <c r="C20" s="91" t="str">
        <f>IF(OR($C$14="Oui",$C$14="Yes"),Traduction!$C$327,"")</f>
        <v/>
      </c>
      <c r="D20" t="b">
        <f t="shared" si="2"/>
        <v>1</v>
      </c>
      <c r="E20" s="8" t="b">
        <f>IF(NbClients=2,IF(C20="",TRUE),"")</f>
        <v>1</v>
      </c>
    </row>
    <row r="21" spans="1:5" ht="14.65" customHeight="1" x14ac:dyDescent="0.45">
      <c r="A21" s="2" t="str">
        <f>Traduction!C49</f>
        <v>Solde total CRI</v>
      </c>
      <c r="B21" s="91" t="str">
        <f>IF(OR($B$14="Oui",$B$14="Yes"),Traduction!$C$327,"")</f>
        <v/>
      </c>
      <c r="C21" s="91" t="str">
        <f>IF(OR($C$14="Oui",$C$14="Yes"),Traduction!$C$327,"")</f>
        <v/>
      </c>
      <c r="D21" t="b">
        <f t="shared" si="2"/>
        <v>1</v>
      </c>
      <c r="E21" s="8" t="b">
        <f t="shared" si="3"/>
        <v>1</v>
      </c>
    </row>
    <row r="22" spans="1:5" ht="14.65" customHeight="1" x14ac:dyDescent="0.45">
      <c r="A22" s="2" t="str">
        <f>Traduction!C50</f>
        <v>Droits de cotisation REER pour l'année en cours</v>
      </c>
      <c r="B22" s="91"/>
      <c r="C22" s="91"/>
      <c r="D22" t="b">
        <f t="shared" si="2"/>
        <v>1</v>
      </c>
      <c r="E22" s="8" t="b">
        <f t="shared" si="3"/>
        <v>1</v>
      </c>
    </row>
    <row r="23" spans="1:5" ht="14.65" customHeight="1" x14ac:dyDescent="0.45">
      <c r="A23" s="2" t="str">
        <f>Traduction!C51</f>
        <v>Droits de cotisation CÉLI pour l'année en cours</v>
      </c>
      <c r="B23" s="91"/>
      <c r="C23" s="91"/>
      <c r="D23" t="b">
        <f t="shared" si="2"/>
        <v>1</v>
      </c>
      <c r="E23" s="8" t="b">
        <f t="shared" si="3"/>
        <v>1</v>
      </c>
    </row>
    <row r="24" spans="1:5" ht="14.65" customHeight="1" x14ac:dyDescent="0.45">
      <c r="A24" s="2" t="str">
        <f>Traduction!C52</f>
        <v>Je joins une copie de la déclaration de revenus (fédérale)</v>
      </c>
      <c r="B24" s="91"/>
      <c r="C24" s="91"/>
      <c r="D24" t="b">
        <f t="shared" si="2"/>
        <v>1</v>
      </c>
      <c r="E24" s="8" t="b">
        <f t="shared" si="3"/>
        <v>1</v>
      </c>
    </row>
    <row r="25" spans="1:5" ht="14.65" customHeight="1" x14ac:dyDescent="0.45">
      <c r="A25" s="2" t="str">
        <f>Traduction!C53</f>
        <v>Je joins une copie de l'avis de cotisation (fédéral)</v>
      </c>
      <c r="B25" s="91"/>
      <c r="C25" s="91"/>
      <c r="D25" t="b">
        <f t="shared" si="2"/>
        <v>1</v>
      </c>
      <c r="E25" s="8" t="b">
        <f t="shared" si="3"/>
        <v>1</v>
      </c>
    </row>
    <row r="26" spans="1:5" ht="14.65" customHeight="1" x14ac:dyDescent="0.45">
      <c r="A26" s="2" t="str">
        <f>Traduction!C54</f>
        <v>Rente RRQ/RPC actuellement reçue</v>
      </c>
      <c r="B26" s="91"/>
      <c r="C26" s="91"/>
      <c r="D26" t="b">
        <f t="shared" si="2"/>
        <v>1</v>
      </c>
      <c r="E26" s="8" t="b">
        <f t="shared" si="3"/>
        <v>1</v>
      </c>
    </row>
    <row r="27" spans="1:5" ht="14.65" customHeight="1" x14ac:dyDescent="0.45">
      <c r="A27" s="2" t="s">
        <v>6</v>
      </c>
      <c r="B27" s="91">
        <v>0</v>
      </c>
      <c r="C27" s="91">
        <v>0</v>
      </c>
      <c r="D27" t="b">
        <f>IF(B27="",TRUE)</f>
        <v>0</v>
      </c>
      <c r="E27" s="8" t="b">
        <f t="shared" si="3"/>
        <v>0</v>
      </c>
    </row>
    <row r="28" spans="1:5" ht="14.65" customHeight="1" x14ac:dyDescent="0.45">
      <c r="A28" s="56" t="s">
        <v>7</v>
      </c>
      <c r="B28" s="91">
        <v>0</v>
      </c>
      <c r="C28" s="91">
        <v>0</v>
      </c>
      <c r="D28" t="b">
        <f t="shared" ref="D28:D29" si="4">IF(B28="",TRUE)</f>
        <v>0</v>
      </c>
      <c r="E28" s="8" t="b">
        <f t="shared" si="3"/>
        <v>0</v>
      </c>
    </row>
    <row r="29" spans="1:5" ht="14.65" customHeight="1" x14ac:dyDescent="0.45">
      <c r="A29" s="2" t="s">
        <v>8</v>
      </c>
      <c r="B29" s="92">
        <v>2023</v>
      </c>
      <c r="C29" s="92">
        <v>2023</v>
      </c>
      <c r="D29" t="b">
        <f t="shared" si="4"/>
        <v>0</v>
      </c>
      <c r="E29" s="8" t="b">
        <f t="shared" si="3"/>
        <v>0</v>
      </c>
    </row>
    <row r="30" spans="1:5" ht="14.65" customHeight="1" x14ac:dyDescent="0.45">
      <c r="A30" s="168" t="str">
        <f>Traduction!C55</f>
        <v>Enfant(s) à charge</v>
      </c>
      <c r="B30" s="168"/>
      <c r="C30" s="168"/>
    </row>
    <row r="31" spans="1:5" ht="14.65" customHeight="1" x14ac:dyDescent="0.45">
      <c r="A31" s="168"/>
      <c r="B31" s="168"/>
      <c r="C31" s="168"/>
    </row>
    <row r="32" spans="1:5" ht="14.65" customHeight="1" x14ac:dyDescent="0.45">
      <c r="A32" s="145" t="str">
        <f>Traduction!C56</f>
        <v>Enfant 1</v>
      </c>
      <c r="B32" s="146"/>
      <c r="C32" s="147"/>
    </row>
    <row r="33" spans="1:5" ht="14.65" customHeight="1" x14ac:dyDescent="0.45">
      <c r="A33" s="2" t="str">
        <f>Traduction!C60</f>
        <v>Nom</v>
      </c>
      <c r="B33" s="138"/>
      <c r="C33" s="139"/>
      <c r="D33" t="b">
        <f t="shared" ref="D33:D40" si="5">IF(AND(NbEnfants&gt;=1,B33=""),TRUE)</f>
        <v>1</v>
      </c>
    </row>
    <row r="34" spans="1:5" ht="14.65" customHeight="1" x14ac:dyDescent="0.45">
      <c r="A34" s="2" t="str">
        <f>Traduction!C61</f>
        <v>Date de naissance (aaaa-mm-jj)</v>
      </c>
      <c r="B34" s="142"/>
      <c r="C34" s="144"/>
      <c r="D34" t="b">
        <f t="shared" si="5"/>
        <v>1</v>
      </c>
    </row>
    <row r="35" spans="1:5" ht="14.65" customHeight="1" x14ac:dyDescent="0.45">
      <c r="A35" s="2" t="str">
        <f>Traduction!C62</f>
        <v>Cet enfant est en garde partagée</v>
      </c>
      <c r="B35" s="142"/>
      <c r="C35" s="143"/>
      <c r="D35" s="144"/>
    </row>
    <row r="36" spans="1:5" ht="14.65" customHeight="1" x14ac:dyDescent="0.45">
      <c r="A36" s="2" t="str">
        <f>Traduction!C63</f>
        <v>Cet enfant fréquente/fréquentera une garderie subventionnée</v>
      </c>
      <c r="B36" s="142"/>
      <c r="C36" s="144"/>
      <c r="D36" t="b">
        <f t="shared" si="5"/>
        <v>1</v>
      </c>
    </row>
    <row r="37" spans="1:5" ht="14.65" customHeight="1" x14ac:dyDescent="0.45">
      <c r="A37" s="2" t="str">
        <f>Traduction!C64</f>
        <v>Cet enfant fréquente/fréquentera une garderie non-subventionnée</v>
      </c>
      <c r="B37" s="142"/>
      <c r="C37" s="144"/>
      <c r="D37" t="b">
        <f t="shared" si="5"/>
        <v>1</v>
      </c>
    </row>
    <row r="38" spans="1:5" ht="14.65" customHeight="1" x14ac:dyDescent="0.45">
      <c r="A38" s="2" t="str">
        <f>Traduction!C65</f>
        <v>Date de début (aaaa-mm-jj)</v>
      </c>
      <c r="B38" s="142" t="str">
        <f>IF(AND(OR($B$37="Non",$B$37="No"),OR($B$36="Non",$B$36="No")),Traduction!$C$327,"")</f>
        <v/>
      </c>
      <c r="C38" s="144"/>
      <c r="D38" t="b">
        <f t="shared" si="5"/>
        <v>1</v>
      </c>
    </row>
    <row r="39" spans="1:5" ht="14.65" customHeight="1" x14ac:dyDescent="0.45">
      <c r="A39" s="2" t="str">
        <f>Traduction!C66</f>
        <v>Date de fin (aaaa-mm-jj)</v>
      </c>
      <c r="B39" s="142" t="str">
        <f>IF(AND(OR($B$37="Non",$B$37="No"),OR($B$36="Non",$B$36="No")),Traduction!$C$327,"")</f>
        <v/>
      </c>
      <c r="C39" s="144"/>
      <c r="D39" t="b">
        <f t="shared" si="5"/>
        <v>1</v>
      </c>
    </row>
    <row r="40" spans="1:5" ht="14.65" customHeight="1" x14ac:dyDescent="0.45">
      <c r="A40" s="2" t="str">
        <f>Traduction!C67</f>
        <v>Coût par jour ($)</v>
      </c>
      <c r="B40" s="142" t="str">
        <f>IF(AND(OR($B$37="Non",$B$37="No"),OR($B$36="Non",$B$36="No")),Traduction!$C$327,IF(OR($B$36="Oui",$B$36="Yes"),Traduction!$C$327,""))</f>
        <v/>
      </c>
      <c r="C40" s="144"/>
      <c r="D40" t="b">
        <f t="shared" si="5"/>
        <v>1</v>
      </c>
    </row>
    <row r="41" spans="1:5" ht="15" customHeight="1" x14ac:dyDescent="0.45">
      <c r="A41" s="145" t="str">
        <f>Traduction!C57</f>
        <v>Enfant 2</v>
      </c>
      <c r="B41" s="146"/>
      <c r="C41" s="147"/>
      <c r="D41" s="4"/>
      <c r="E41" s="4"/>
    </row>
    <row r="42" spans="1:5" ht="15" customHeight="1" x14ac:dyDescent="0.45">
      <c r="A42" s="2" t="str">
        <f>Traduction!C60</f>
        <v>Nom</v>
      </c>
      <c r="B42" s="138"/>
      <c r="C42" s="139"/>
      <c r="D42" t="b">
        <f t="shared" ref="D42:D49" si="6">IF(AND(NbEnfants&gt;=2,B42=""),TRUE)</f>
        <v>1</v>
      </c>
      <c r="E42" s="4"/>
    </row>
    <row r="43" spans="1:5" ht="15" customHeight="1" x14ac:dyDescent="0.45">
      <c r="A43" s="2" t="str">
        <f>Traduction!C61</f>
        <v>Date de naissance (aaaa-mm-jj)</v>
      </c>
      <c r="B43" s="142"/>
      <c r="C43" s="144"/>
      <c r="D43" t="b">
        <f t="shared" si="6"/>
        <v>1</v>
      </c>
      <c r="E43" s="4"/>
    </row>
    <row r="44" spans="1:5" ht="15" customHeight="1" x14ac:dyDescent="0.45">
      <c r="A44" s="2" t="str">
        <f>Traduction!C62</f>
        <v>Cet enfant est en garde partagée</v>
      </c>
      <c r="B44" s="142"/>
      <c r="C44" s="143"/>
      <c r="D44" s="144"/>
      <c r="E44" s="4"/>
    </row>
    <row r="45" spans="1:5" ht="15" customHeight="1" x14ac:dyDescent="0.45">
      <c r="A45" s="2" t="str">
        <f>Traduction!C63</f>
        <v>Cet enfant fréquente/fréquentera une garderie subventionnée</v>
      </c>
      <c r="B45" s="142"/>
      <c r="C45" s="144"/>
      <c r="D45" t="b">
        <f t="shared" si="6"/>
        <v>1</v>
      </c>
      <c r="E45" s="4"/>
    </row>
    <row r="46" spans="1:5" ht="15" customHeight="1" x14ac:dyDescent="0.45">
      <c r="A46" s="2" t="str">
        <f>Traduction!C64</f>
        <v>Cet enfant fréquente/fréquentera une garderie non-subventionnée</v>
      </c>
      <c r="B46" s="142"/>
      <c r="C46" s="144"/>
      <c r="D46" t="b">
        <f t="shared" si="6"/>
        <v>1</v>
      </c>
      <c r="E46" s="4"/>
    </row>
    <row r="47" spans="1:5" ht="15" customHeight="1" x14ac:dyDescent="0.45">
      <c r="A47" s="2" t="str">
        <f>Traduction!C65</f>
        <v>Date de début (aaaa-mm-jj)</v>
      </c>
      <c r="B47" s="142" t="str">
        <f>IF(AND(OR($B$46="Non",$B$46="No"),OR($B$45="Non",$B$45="No")),Traduction!$C$327,"")</f>
        <v/>
      </c>
      <c r="C47" s="144"/>
      <c r="D47" t="b">
        <f t="shared" si="6"/>
        <v>1</v>
      </c>
      <c r="E47" s="4"/>
    </row>
    <row r="48" spans="1:5" ht="15" customHeight="1" x14ac:dyDescent="0.45">
      <c r="A48" s="2" t="str">
        <f>Traduction!C66</f>
        <v>Date de fin (aaaa-mm-jj)</v>
      </c>
      <c r="B48" s="142" t="str">
        <f>IF(AND(OR($B$46="Non",$B$46="No"),OR($B$45="Non",$B$45="No")),Traduction!$C$327,"")</f>
        <v/>
      </c>
      <c r="C48" s="144"/>
      <c r="D48" t="b">
        <f t="shared" si="6"/>
        <v>1</v>
      </c>
      <c r="E48" s="4"/>
    </row>
    <row r="49" spans="1:5" ht="15" customHeight="1" x14ac:dyDescent="0.45">
      <c r="A49" s="2" t="str">
        <f>Traduction!C67</f>
        <v>Coût par jour ($)</v>
      </c>
      <c r="B49" s="142" t="str">
        <f>IF(AND(OR(B46="Non",B46="No"),OR(B45="Non",B45="No")),Traduction!$C$327,IF(OR(B45="Oui",B45="Yes"),Traduction!$C$327,""))</f>
        <v/>
      </c>
      <c r="C49" s="144"/>
      <c r="D49" t="b">
        <f t="shared" si="6"/>
        <v>1</v>
      </c>
      <c r="E49" s="4"/>
    </row>
    <row r="50" spans="1:5" ht="15" customHeight="1" x14ac:dyDescent="0.45">
      <c r="A50" s="145" t="str">
        <f>Traduction!C58</f>
        <v>Enfant 3</v>
      </c>
      <c r="B50" s="146"/>
      <c r="C50" s="147"/>
      <c r="D50" s="4"/>
      <c r="E50" s="4"/>
    </row>
    <row r="51" spans="1:5" ht="15" customHeight="1" x14ac:dyDescent="0.45">
      <c r="A51" s="2" t="str">
        <f>Traduction!C60</f>
        <v>Nom</v>
      </c>
      <c r="B51" s="138"/>
      <c r="C51" s="139"/>
      <c r="D51" t="b">
        <f t="shared" ref="D51:D58" si="7">IF(AND(NbEnfants&gt;=3,B51=""),TRUE)</f>
        <v>1</v>
      </c>
      <c r="E51" s="4"/>
    </row>
    <row r="52" spans="1:5" ht="15" customHeight="1" x14ac:dyDescent="0.45">
      <c r="A52" s="2" t="str">
        <f>Traduction!C61</f>
        <v>Date de naissance (aaaa-mm-jj)</v>
      </c>
      <c r="B52" s="142"/>
      <c r="C52" s="144"/>
      <c r="D52" t="b">
        <f t="shared" si="7"/>
        <v>1</v>
      </c>
      <c r="E52" s="4"/>
    </row>
    <row r="53" spans="1:5" ht="15" customHeight="1" x14ac:dyDescent="0.45">
      <c r="A53" s="2" t="str">
        <f>Traduction!C62</f>
        <v>Cet enfant est en garde partagée</v>
      </c>
      <c r="B53" s="142"/>
      <c r="C53" s="143"/>
      <c r="D53" s="144"/>
      <c r="E53" s="4"/>
    </row>
    <row r="54" spans="1:5" ht="15" customHeight="1" x14ac:dyDescent="0.45">
      <c r="A54" s="2" t="str">
        <f>Traduction!C63</f>
        <v>Cet enfant fréquente/fréquentera une garderie subventionnée</v>
      </c>
      <c r="B54" s="142"/>
      <c r="C54" s="144"/>
      <c r="D54" t="b">
        <f t="shared" si="7"/>
        <v>1</v>
      </c>
      <c r="E54" s="4"/>
    </row>
    <row r="55" spans="1:5" ht="15" customHeight="1" x14ac:dyDescent="0.45">
      <c r="A55" s="2" t="str">
        <f>Traduction!C64</f>
        <v>Cet enfant fréquente/fréquentera une garderie non-subventionnée</v>
      </c>
      <c r="B55" s="142"/>
      <c r="C55" s="144"/>
      <c r="D55" t="b">
        <f t="shared" si="7"/>
        <v>1</v>
      </c>
      <c r="E55" s="4"/>
    </row>
    <row r="56" spans="1:5" ht="15" customHeight="1" x14ac:dyDescent="0.45">
      <c r="A56" s="2" t="str">
        <f>Traduction!C65</f>
        <v>Date de début (aaaa-mm-jj)</v>
      </c>
      <c r="B56" s="142" t="str">
        <f>IF(AND(OR(B55="Non",B55="No"),OR(B54="Non",B54="No")),Traduction!$C$327,"")</f>
        <v/>
      </c>
      <c r="C56" s="144"/>
      <c r="D56" t="b">
        <f t="shared" si="7"/>
        <v>1</v>
      </c>
      <c r="E56" s="4"/>
    </row>
    <row r="57" spans="1:5" ht="15" customHeight="1" x14ac:dyDescent="0.45">
      <c r="A57" s="2" t="str">
        <f>Traduction!C66</f>
        <v>Date de fin (aaaa-mm-jj)</v>
      </c>
      <c r="B57" s="142" t="str">
        <f>IF(AND(OR(B55="Non",B55="No"),OR(B54="Non",B54="No")),Traduction!$C$327,"")</f>
        <v/>
      </c>
      <c r="C57" s="144"/>
      <c r="D57" t="b">
        <f t="shared" si="7"/>
        <v>1</v>
      </c>
      <c r="E57" s="4"/>
    </row>
    <row r="58" spans="1:5" ht="15" customHeight="1" x14ac:dyDescent="0.45">
      <c r="A58" s="2" t="str">
        <f>Traduction!C67</f>
        <v>Coût par jour ($)</v>
      </c>
      <c r="B58" s="142" t="str">
        <f>IF(AND(OR(B55="Non",B55="No"),OR(B54="Non",B54="No")),Traduction!$C$327,IF(OR(B54="Oui",B54="Yes"),Traduction!$C$327,""))</f>
        <v/>
      </c>
      <c r="C58" s="144"/>
      <c r="D58" t="b">
        <f t="shared" si="7"/>
        <v>1</v>
      </c>
      <c r="E58" s="4"/>
    </row>
    <row r="59" spans="1:5" ht="15" hidden="1" customHeight="1" x14ac:dyDescent="0.45">
      <c r="A59" s="145" t="str">
        <f>Traduction!C59</f>
        <v>Enfant 4</v>
      </c>
      <c r="B59" s="146"/>
      <c r="C59" s="147"/>
      <c r="D59" s="4"/>
      <c r="E59" s="4"/>
    </row>
    <row r="60" spans="1:5" ht="15" hidden="1" customHeight="1" x14ac:dyDescent="0.45">
      <c r="A60" s="2" t="str">
        <f>Traduction!C60</f>
        <v>Nom</v>
      </c>
      <c r="B60" s="138"/>
      <c r="C60" s="139"/>
      <c r="D60" t="b">
        <f t="shared" ref="D60:D67" si="8">IF(AND(NbEnfants&gt;=3,B60=""),TRUE)</f>
        <v>1</v>
      </c>
      <c r="E60" s="4"/>
    </row>
    <row r="61" spans="1:5" ht="15" hidden="1" customHeight="1" x14ac:dyDescent="0.45">
      <c r="A61" s="2" t="str">
        <f>Traduction!C61</f>
        <v>Date de naissance (aaaa-mm-jj)</v>
      </c>
      <c r="B61" s="142"/>
      <c r="C61" s="144"/>
      <c r="D61" t="b">
        <f t="shared" si="8"/>
        <v>1</v>
      </c>
      <c r="E61" s="4"/>
    </row>
    <row r="62" spans="1:5" ht="15" hidden="1" customHeight="1" x14ac:dyDescent="0.45">
      <c r="A62" s="2" t="str">
        <f>Traduction!C62</f>
        <v>Cet enfant est en garde partagée</v>
      </c>
      <c r="B62" s="142"/>
      <c r="C62" s="143"/>
      <c r="D62" s="144"/>
      <c r="E62" s="4"/>
    </row>
    <row r="63" spans="1:5" ht="15" hidden="1" customHeight="1" x14ac:dyDescent="0.45">
      <c r="A63" s="2" t="str">
        <f>Traduction!C63</f>
        <v>Cet enfant fréquente/fréquentera une garderie subventionnée</v>
      </c>
      <c r="B63" s="142"/>
      <c r="C63" s="144"/>
      <c r="D63" t="b">
        <f t="shared" si="8"/>
        <v>1</v>
      </c>
      <c r="E63" s="4"/>
    </row>
    <row r="64" spans="1:5" ht="15" hidden="1" customHeight="1" x14ac:dyDescent="0.45">
      <c r="A64" s="2" t="str">
        <f>Traduction!C64</f>
        <v>Cet enfant fréquente/fréquentera une garderie non-subventionnée</v>
      </c>
      <c r="B64" s="142"/>
      <c r="C64" s="144"/>
      <c r="D64" t="b">
        <f t="shared" si="8"/>
        <v>1</v>
      </c>
      <c r="E64" s="4"/>
    </row>
    <row r="65" spans="1:5" ht="15" hidden="1" customHeight="1" x14ac:dyDescent="0.45">
      <c r="A65" s="2" t="str">
        <f>Traduction!C65</f>
        <v>Date de début (aaaa-mm-jj)</v>
      </c>
      <c r="B65" s="142" t="str">
        <f>IF(AND(OR(B64="Non",B64="No"),OR(B63="Non",B63="No")),Traduction!$C$327,"")</f>
        <v/>
      </c>
      <c r="C65" s="144"/>
      <c r="D65" t="b">
        <f t="shared" si="8"/>
        <v>1</v>
      </c>
      <c r="E65" s="4"/>
    </row>
    <row r="66" spans="1:5" ht="15" hidden="1" customHeight="1" x14ac:dyDescent="0.45">
      <c r="A66" s="2" t="str">
        <f>Traduction!C66</f>
        <v>Date de fin (aaaa-mm-jj)</v>
      </c>
      <c r="B66" s="142" t="str">
        <f>IF(AND(OR(B64="Non",B64="No"),OR(B63="Non",B63="No")),Traduction!$C$327,"")</f>
        <v/>
      </c>
      <c r="C66" s="144"/>
      <c r="D66" t="b">
        <f t="shared" si="8"/>
        <v>1</v>
      </c>
      <c r="E66" s="4"/>
    </row>
    <row r="67" spans="1:5" ht="15" hidden="1" customHeight="1" x14ac:dyDescent="0.45">
      <c r="A67" s="2" t="str">
        <f>Traduction!C67</f>
        <v>Coût par jour ($)</v>
      </c>
      <c r="B67" s="142" t="str">
        <f>IF(AND(OR(B64="Non",B64="No"),OR(B63="Non",B63="No")),Traduction!$C$327,IF(OR(B63="Oui",B63="Yes"),Traduction!$C$327,""))</f>
        <v/>
      </c>
      <c r="C67" s="144"/>
      <c r="D67" t="b">
        <f t="shared" si="8"/>
        <v>1</v>
      </c>
      <c r="E67" s="4"/>
    </row>
    <row r="68" spans="1:5" ht="14.65" customHeight="1" x14ac:dyDescent="0.45">
      <c r="A68" s="168" t="str">
        <f>Traduction!C68</f>
        <v>Salarié</v>
      </c>
      <c r="B68" s="168"/>
      <c r="C68" s="168"/>
    </row>
    <row r="69" spans="1:5" ht="10.9" customHeight="1" x14ac:dyDescent="0.45">
      <c r="A69" s="168"/>
      <c r="B69" s="168"/>
      <c r="C69" s="168"/>
    </row>
    <row r="70" spans="1:5" x14ac:dyDescent="0.45">
      <c r="A70" s="2" t="str">
        <f>Traduction!C69</f>
        <v>Revenu d'emploi ($)</v>
      </c>
      <c r="B70" s="91" t="str">
        <f>IF(OR(B24="Oui",B24="Yes"),Traduction!$C$327,"")</f>
        <v/>
      </c>
      <c r="C70" s="91" t="str">
        <f>IF(OR(C24="Oui",C24="Yes"),Traduction!$C$327,"")</f>
        <v/>
      </c>
      <c r="D70" t="b">
        <f>IF(AND((RevenuEmploiClient=""),(RevenuEmploiConjoint="")),TRUE)</f>
        <v>1</v>
      </c>
    </row>
    <row r="71" spans="1:5" x14ac:dyDescent="0.45">
      <c r="A71" s="168" t="str">
        <f>Traduction!C70</f>
        <v>Fonds de pension à prestations déterminées</v>
      </c>
      <c r="B71" s="168"/>
      <c r="C71" s="168"/>
    </row>
    <row r="72" spans="1:5" x14ac:dyDescent="0.45">
      <c r="A72" s="168"/>
      <c r="B72" s="168"/>
      <c r="C72" s="168"/>
    </row>
    <row r="73" spans="1:5" x14ac:dyDescent="0.45">
      <c r="A73" s="2" t="str">
        <f>Traduction!C71</f>
        <v>Je joins le relevé du fonds de pension contenant les informations ci-bas</v>
      </c>
      <c r="B73" s="90"/>
      <c r="C73" s="90"/>
      <c r="D73" t="b">
        <f>IF(AND((B73=""),(C73=""),(OR(FondsPension="prestations déterminées",FondsPension="Defined benefit pension plan"))),TRUE)</f>
        <v>1</v>
      </c>
    </row>
    <row r="74" spans="1:5" x14ac:dyDescent="0.45">
      <c r="A74" s="2" t="str">
        <f>Traduction!C72</f>
        <v>Cotisations annuelles de l'employé au fonds de pension</v>
      </c>
      <c r="B74" s="90" t="str">
        <f>IF(OR($B$73="Oui",$B$73="Yes"),Traduction!$C$327,"")</f>
        <v/>
      </c>
      <c r="C74" s="90" t="str">
        <f>IF(OR($C$73="Oui",$C$73="Yes"),Traduction!$C$327,"")</f>
        <v/>
      </c>
      <c r="D74" t="b">
        <f>IF(AND((B74=""),(C74=""),(OR(FondsPension="prestations déterminées",FondsPension="Defined benefit pension plan"))),TRUE)</f>
        <v>1</v>
      </c>
    </row>
    <row r="75" spans="1:5" x14ac:dyDescent="0.45">
      <c r="A75" s="2" t="str">
        <f>Traduction!C73</f>
        <v>Facteur d'équivalence ($)</v>
      </c>
      <c r="B75" s="93" t="str">
        <f>IF(AND(NbClients=2,OR($B$25="Oui",$B$25="Yes"),OR(FondsPension="Prestations déterminées",FondsPension="Defined benefit pension plan",FondsPension2="Prestations déterminées",FondsPension2="Defined benefit pension plan")),Traduction!$C$327,"")</f>
        <v/>
      </c>
      <c r="C75" s="93" t="str">
        <f>IF(AND(NbClients=2,OR($C$25="Oui",$C$25="Yes"),OR(FondsPension="Prestations déterminées",FondsPension="Defined benefit pension plan",FondsPension2="Prestations déterminées",FondsPension2="Defined benefit pension plan")),Traduction!$C$327,"")</f>
        <v/>
      </c>
      <c r="D75" t="b">
        <f>IF(AND((B75=""),(C75=""),(OR(FondsPension="prestations déterminées",FondsPension="Defined benefit pension plan"))),TRUE)</f>
        <v>1</v>
      </c>
    </row>
    <row r="76" spans="1:5" x14ac:dyDescent="0.45">
      <c r="A76" s="2" t="str">
        <f>Traduction!C74</f>
        <v>Montant de la rente annuelle avant coordination ($)</v>
      </c>
      <c r="B76" s="93" t="str">
        <f>IF(OR($B$73="Oui",$B$73="Yes"),Traduction!$C$327,"")</f>
        <v/>
      </c>
      <c r="C76" s="93" t="str">
        <f>IF(OR($C$73="Oui",$C$73="Yes"),Traduction!$C$327,"")</f>
        <v/>
      </c>
      <c r="D76" t="b">
        <f>IF(AND((B76=""),(C76=""),(OR(FondsPension="prestations déterminées",FondsPension="Defined benefit pension plan"))),TRUE)</f>
        <v>1</v>
      </c>
    </row>
    <row r="77" spans="1:5" x14ac:dyDescent="0.45">
      <c r="A77" s="2" t="str">
        <f>Traduction!C75</f>
        <v>Montant de la rente annuelle après coordination ($)</v>
      </c>
      <c r="B77" s="93" t="str">
        <f>IF(OR($B$73="Oui",$B$73="Yes"),Traduction!$C$327,"")</f>
        <v/>
      </c>
      <c r="C77" s="93" t="str">
        <f>IF(OR($C$73="Oui",$C$73="Yes"),Traduction!$C$327,"")</f>
        <v/>
      </c>
      <c r="D77" t="b">
        <f>IF(AND((B77=""),(C77=""),(OR(FondsPension="prestations déterminées",FondsPension="Defined benefit pension plan"))),TRUE)</f>
        <v>1</v>
      </c>
    </row>
    <row r="78" spans="1:5" hidden="1" x14ac:dyDescent="0.45">
      <c r="A78" s="168" t="str">
        <f>Traduction!C76</f>
        <v>Fonds de pension à cotisations déterminées</v>
      </c>
      <c r="B78" s="168"/>
      <c r="C78" s="168"/>
    </row>
    <row r="79" spans="1:5" hidden="1" x14ac:dyDescent="0.45">
      <c r="A79" s="168"/>
      <c r="B79" s="168"/>
      <c r="C79" s="168"/>
    </row>
    <row r="80" spans="1:5" hidden="1" x14ac:dyDescent="0.45">
      <c r="A80" s="2" t="str">
        <f>Traduction!C71</f>
        <v>Je joins le relevé du fonds de pension contenant les informations ci-bas</v>
      </c>
      <c r="B80" s="90"/>
      <c r="C80" s="90"/>
      <c r="D80" t="b">
        <f>IF(AND((B80=""),(C80=""),(OR(FondsPension="cotisations déterminées",FondsPension="Defined contribution pension plan"))),TRUE)</f>
        <v>0</v>
      </c>
    </row>
    <row r="81" spans="1:4" hidden="1" x14ac:dyDescent="0.45">
      <c r="A81" s="2" t="str">
        <f>Traduction!C72</f>
        <v>Cotisations annuelles de l'employé au fonds de pension</v>
      </c>
      <c r="B81" s="93" t="str">
        <f>IF(OR($B$80="Oui",$B$80="Yes"),Traduction!$C$327,"")</f>
        <v/>
      </c>
      <c r="C81" s="93" t="str">
        <f>IF(OR($C$80="Oui",$C$80="Yes"),Traduction!$C$327,"")</f>
        <v/>
      </c>
      <c r="D81" t="b">
        <f>IF(AND((B81=""),(C81=""),(OR(FondsPension="cotisations déterminées",FondsPension="Defined contribution pension plan"))),TRUE)</f>
        <v>0</v>
      </c>
    </row>
    <row r="82" spans="1:4" hidden="1" x14ac:dyDescent="0.45">
      <c r="A82" s="2" t="str">
        <f>Traduction!C77</f>
        <v>Cotisations annuelles de l'employeur au fonds de pension</v>
      </c>
      <c r="B82" s="93" t="str">
        <f>IF(OR($B$80="Oui",$B$80="Yes"),Traduction!$C$327,"")</f>
        <v/>
      </c>
      <c r="C82" s="93" t="str">
        <f>IF(OR($C$80="Oui",$C$80="Yes"),Traduction!$C$327,"")</f>
        <v/>
      </c>
      <c r="D82" t="b">
        <f>IF(AND((B82=""),(C82=""),(OR(FondsPension="cotisations déterminées",FondsPension="Defined contribution pension plan"))),TRUE)</f>
        <v>0</v>
      </c>
    </row>
    <row r="83" spans="1:4" hidden="1" x14ac:dyDescent="0.45">
      <c r="A83" s="2" t="str">
        <f>Traduction!C78</f>
        <v>Solde du compte ($)</v>
      </c>
      <c r="B83" s="93" t="str">
        <f>IF(OR($B$80="Oui",$B$80="Yes"),Traduction!$C$327,"")</f>
        <v/>
      </c>
      <c r="C83" s="93" t="str">
        <f>IF(OR($C$80="Oui",$C$80="Yes"),Traduction!$C$327,"")</f>
        <v/>
      </c>
      <c r="D83" t="b">
        <f>IF(AND((B83=""),(C83=""),(OR(FondsPension="cotisations déterminées",FondsPension="Defined contribution pension plan"))),TRUE)</f>
        <v>0</v>
      </c>
    </row>
    <row r="84" spans="1:4" ht="14.65" hidden="1" customHeight="1" x14ac:dyDescent="0.45">
      <c r="A84" s="168" t="str">
        <f>Traduction!C70</f>
        <v>Fonds de pension à prestations déterminées</v>
      </c>
      <c r="B84" s="168"/>
      <c r="C84" s="168"/>
    </row>
    <row r="85" spans="1:4" ht="14.65" hidden="1" customHeight="1" x14ac:dyDescent="0.45">
      <c r="A85" s="168"/>
      <c r="B85" s="168"/>
      <c r="C85" s="168"/>
    </row>
    <row r="86" spans="1:4" hidden="1" x14ac:dyDescent="0.45">
      <c r="A86" s="2" t="str">
        <f>Traduction!C71</f>
        <v>Je joins le relevé du fonds de pension contenant les informations ci-bas</v>
      </c>
      <c r="B86" s="91"/>
      <c r="C86" s="91"/>
      <c r="D86" t="b">
        <f>IF(AND((B86=""),(C86=""),(OR(FondsPension2="prestations déterminées",FondsPension2="Defined benefit pension plan"))),TRUE)</f>
        <v>0</v>
      </c>
    </row>
    <row r="87" spans="1:4" hidden="1" x14ac:dyDescent="0.45">
      <c r="A87" s="2" t="str">
        <f>Traduction!C72</f>
        <v>Cotisations annuelles de l'employé au fonds de pension</v>
      </c>
      <c r="B87" s="91" t="str">
        <f>IF(OR($B$86="Oui",$B$86="Yes"),Traduction!$C$327,"")</f>
        <v/>
      </c>
      <c r="C87" s="90" t="str">
        <f>IF(OR($C$86="Oui",$C$86="Yes"),Traduction!$C$327,"")</f>
        <v/>
      </c>
      <c r="D87" t="b">
        <f>IF(AND((B87=""),(C87=""),(OR(FondsPension2="prestations déterminées",FondsPension2="Defined benefit pension plan"))),TRUE)</f>
        <v>0</v>
      </c>
    </row>
    <row r="88" spans="1:4" hidden="1" x14ac:dyDescent="0.45">
      <c r="A88" s="2" t="str">
        <f>Traduction!C73</f>
        <v>Facteur d'équivalence ($)</v>
      </c>
      <c r="B88" s="91" t="str">
        <f>IF(AND(NbClients=2,OR($B$25="Oui",$B$25="Yes"),OR(FondsPension="Prestations déterminées",FondsPension="Defined benefit pension plan",FondsPension2="Prestations déterminées",FondsPension2="Defined benefit pension plan")),Traduction!$C$327,"")</f>
        <v/>
      </c>
      <c r="C88" s="91" t="str">
        <f>IF(AND(NbClients=2,OR($C$25="Oui",$C$25="Yes"),OR(FondsPension="Prestations déterminées",FondsPension="Defined benefit pension plan",FondsPension2="Prestations déterminées",FondsPension2="Defined benefit pension plan")),Traduction!$C$327,"")</f>
        <v/>
      </c>
      <c r="D88" t="b">
        <f>IF(AND((B88=""),(C88=""),(OR(FondsPension2="prestations déterminées",FondsPension2="Defined benefit pension plan"))),TRUE)</f>
        <v>0</v>
      </c>
    </row>
    <row r="89" spans="1:4" hidden="1" x14ac:dyDescent="0.45">
      <c r="A89" s="2" t="str">
        <f>Traduction!C74</f>
        <v>Montant de la rente annuelle avant coordination ($)</v>
      </c>
      <c r="B89" s="91" t="str">
        <f>IF(OR($B$86="Oui",$B$86="Yes"),Traduction!$C$327,"")</f>
        <v/>
      </c>
      <c r="C89" s="91" t="str">
        <f>IF(OR($C$86="Oui",$C$86="Yes"),Traduction!$C$327,"")</f>
        <v/>
      </c>
      <c r="D89" t="b">
        <f>IF(AND((B89=""),(C89=""),(OR(FondsPension2="prestations déterminées",FondsPension2="Defined benefit pension plan"))),TRUE)</f>
        <v>0</v>
      </c>
    </row>
    <row r="90" spans="1:4" hidden="1" x14ac:dyDescent="0.45">
      <c r="A90" s="2" t="str">
        <f>Traduction!C75</f>
        <v>Montant de la rente annuelle après coordination ($)</v>
      </c>
      <c r="B90" s="91" t="str">
        <f>IF(OR($B$86="Oui",$B$86="Yes"),Traduction!$C$327,"")</f>
        <v/>
      </c>
      <c r="C90" s="91" t="str">
        <f>IF(OR($C$86="Oui",$C$86="Yes"),Traduction!$C$327,"")</f>
        <v/>
      </c>
      <c r="D90" t="b">
        <f>IF(AND((B90=""),(C90=""),(OR(FondsPension2="prestations déterminées",FondsPension2="Defined benefit pension plan"))),TRUE)</f>
        <v>0</v>
      </c>
    </row>
    <row r="91" spans="1:4" hidden="1" x14ac:dyDescent="0.45">
      <c r="A91" s="168" t="str">
        <f>Traduction!C76</f>
        <v>Fonds de pension à cotisations déterminées</v>
      </c>
      <c r="B91" s="168"/>
      <c r="C91" s="168"/>
    </row>
    <row r="92" spans="1:4" hidden="1" x14ac:dyDescent="0.45">
      <c r="A92" s="168"/>
      <c r="B92" s="168"/>
      <c r="C92" s="168"/>
    </row>
    <row r="93" spans="1:4" hidden="1" x14ac:dyDescent="0.45">
      <c r="A93" s="2" t="str">
        <f>Traduction!C71</f>
        <v>Je joins le relevé du fonds de pension contenant les informations ci-bas</v>
      </c>
      <c r="B93" s="90"/>
      <c r="C93" s="90"/>
      <c r="D93" t="b">
        <f>IF(AND((B93=""),(C93=""),(OR(FondsPension2="cotisations déterminées",FondsPension2="Defined contribution pension plan"))),TRUE)</f>
        <v>0</v>
      </c>
    </row>
    <row r="94" spans="1:4" hidden="1" x14ac:dyDescent="0.45">
      <c r="A94" s="2" t="str">
        <f>Traduction!C72</f>
        <v>Cotisations annuelles de l'employé au fonds de pension</v>
      </c>
      <c r="B94" s="91" t="str">
        <f>IF(OR($B$93="Oui",$B$93="Yes"),Traduction!$C$327,"")</f>
        <v/>
      </c>
      <c r="C94" s="91" t="str">
        <f>IF(OR($C$93="Oui",$C$93="Yes"),Traduction!$C$327,"")</f>
        <v/>
      </c>
      <c r="D94" t="b">
        <f>IF(AND((B94=""),(C94=""),(OR(FondsPension2="cotisations déterminées",FondsPension2="Defined contribution pension plan"))),TRUE)</f>
        <v>0</v>
      </c>
    </row>
    <row r="95" spans="1:4" hidden="1" x14ac:dyDescent="0.45">
      <c r="A95" s="2" t="str">
        <f>Traduction!C77</f>
        <v>Cotisations annuelles de l'employeur au fonds de pension</v>
      </c>
      <c r="B95" s="91" t="str">
        <f>IF(OR($B$93="Oui",$B$93="Yes"),Traduction!$C$327,"")</f>
        <v/>
      </c>
      <c r="C95" s="91" t="str">
        <f>IF(OR($C$93="Oui",$C$93="Yes"),Traduction!$C$327,"")</f>
        <v/>
      </c>
      <c r="D95" t="b">
        <f>IF(AND((B95=""),(C95=""),(OR(FondsPension2="cotisations déterminées",FondsPension2="Defined contribution pension plan"))),TRUE)</f>
        <v>0</v>
      </c>
    </row>
    <row r="96" spans="1:4" hidden="1" x14ac:dyDescent="0.45">
      <c r="A96" s="2" t="str">
        <f>Traduction!C78</f>
        <v>Solde du compte ($)</v>
      </c>
      <c r="B96" s="91" t="str">
        <f>IF(OR($B$93="Oui",$B$93="Yes"),Traduction!$C$327,"")</f>
        <v/>
      </c>
      <c r="C96" s="91" t="str">
        <f>IF(OR($C$93="Oui",$C$93="Yes"),Traduction!$C$327,"")</f>
        <v/>
      </c>
      <c r="D96" t="b">
        <f>IF(AND((B96=""),(C96=""),(OR(FondsPension2="cotisations déterminées",FondsPension2="Defined contribution pension plan"))),TRUE)</f>
        <v>0</v>
      </c>
    </row>
    <row r="97" spans="1:4" hidden="1" x14ac:dyDescent="0.45">
      <c r="A97" s="159" t="str">
        <f>Traduction!C79</f>
        <v>RPDB</v>
      </c>
      <c r="B97" s="159"/>
      <c r="C97" s="159"/>
    </row>
    <row r="98" spans="1:4" ht="14.65" hidden="1" thickBot="1" x14ac:dyDescent="0.5">
      <c r="A98" s="162"/>
      <c r="B98" s="162"/>
      <c r="C98" s="162"/>
    </row>
    <row r="99" spans="1:4" ht="15" hidden="1" thickTop="1" thickBot="1" x14ac:dyDescent="0.5">
      <c r="A99" s="2" t="str">
        <f>Traduction!C80</f>
        <v>Valeur actuelle du régime</v>
      </c>
      <c r="B99" s="94" t="str">
        <f>IF(OR($B$14="Oui",$B$14="Yes"),Traduction!$C$327,"")</f>
        <v/>
      </c>
      <c r="C99" s="94" t="str">
        <f>IF(AND(NbClients=2,OR($C$14="Oui",$C$14="Yes")),Traduction!$C$327,"")</f>
        <v/>
      </c>
      <c r="D99" t="b">
        <f>IF(AND((B99=""),(C99=""),(OR(RPDB="oui",RPDB="yes"))),TRUE)</f>
        <v>0</v>
      </c>
    </row>
    <row r="100" spans="1:4" ht="15" hidden="1" thickTop="1" thickBot="1" x14ac:dyDescent="0.5">
      <c r="A100" s="2" t="str">
        <f>Traduction!C77</f>
        <v>Cotisations annuelles de l'employeur au fonds de pension</v>
      </c>
      <c r="B100" s="94"/>
      <c r="C100" s="94"/>
      <c r="D100" t="b">
        <f>IF(AND((B100=""),(C100=""),(OR(RPDB="oui",RPDB="yes"))),TRUE)</f>
        <v>0</v>
      </c>
    </row>
    <row r="101" spans="1:4" hidden="1" x14ac:dyDescent="0.45">
      <c r="A101" s="159" t="str">
        <f>Traduction!C81</f>
        <v>RR-E/RRI</v>
      </c>
      <c r="B101" s="159"/>
      <c r="C101" s="159"/>
    </row>
    <row r="102" spans="1:4" ht="14.65" hidden="1" thickBot="1" x14ac:dyDescent="0.5">
      <c r="A102" s="162"/>
      <c r="B102" s="162"/>
      <c r="C102" s="162"/>
    </row>
    <row r="103" spans="1:4" ht="15" hidden="1" thickTop="1" thickBot="1" x14ac:dyDescent="0.5">
      <c r="A103" s="2" t="str">
        <f>Traduction!C82</f>
        <v>Je joins une copie du relevé de placement</v>
      </c>
      <c r="B103" s="95"/>
      <c r="C103" s="95"/>
      <c r="D103" t="b">
        <f>IF(AND((B103=""),(C103=""),(OR(RREouRRI="oui",RREouRRI="yes"))),TRUE)</f>
        <v>0</v>
      </c>
    </row>
    <row r="104" spans="1:4" ht="15" hidden="1" thickTop="1" thickBot="1" x14ac:dyDescent="0.5">
      <c r="A104" s="2" t="str">
        <f>Traduction!C80</f>
        <v>Valeur actuelle du régime</v>
      </c>
      <c r="B104" s="94" t="str">
        <f>IF(OR($B$103="Oui",$B$103="Yes"),Traduction!$C$327,"")</f>
        <v/>
      </c>
      <c r="C104" s="94" t="str">
        <f>IF(OR($C$103="Oui",$C$103="Yes"),Traduction!$C$327,"")</f>
        <v/>
      </c>
      <c r="D104" t="b">
        <f>IF(AND((B104=""),(C104=""),(OR(RREouRRI="oui",RREouRRI="yes"))),TRUE)</f>
        <v>0</v>
      </c>
    </row>
    <row r="105" spans="1:4" hidden="1" x14ac:dyDescent="0.45">
      <c r="A105" s="159" t="str">
        <f>Traduction!C83</f>
        <v>Travailleur autonome</v>
      </c>
      <c r="B105" s="159"/>
      <c r="C105" s="159"/>
    </row>
    <row r="106" spans="1:4" hidden="1" x14ac:dyDescent="0.45">
      <c r="A106" s="162"/>
      <c r="B106" s="162"/>
      <c r="C106" s="162"/>
    </row>
    <row r="107" spans="1:4" hidden="1" x14ac:dyDescent="0.45">
      <c r="A107" s="2" t="str">
        <f>Traduction!C84</f>
        <v>Revenu d'entreprise net ($)</v>
      </c>
      <c r="B107" s="91" t="str">
        <f>IF(OR(B24="Oui",B24="Yes"),Traduction!$C$327,"")</f>
        <v/>
      </c>
      <c r="C107" s="91" t="str">
        <f>IF(AND(NbClients=2,OR(C24="Oui",C24="Yes")),Traduction!$C$327,"")</f>
        <v/>
      </c>
      <c r="D107" t="b">
        <f>IF(AND((B107=""),(C107=""),OR(TravailleurAutonome="oui",TravailleurAutonome="yes")),TRUE)</f>
        <v>0</v>
      </c>
    </row>
    <row r="108" spans="1:4" x14ac:dyDescent="0.45">
      <c r="A108" s="159" t="str">
        <f>Traduction!C85</f>
        <v xml:space="preserve">Société(s) de gestion </v>
      </c>
      <c r="B108" s="159"/>
      <c r="C108" s="159"/>
    </row>
    <row r="109" spans="1:4" x14ac:dyDescent="0.45">
      <c r="A109" s="162"/>
      <c r="B109" s="162"/>
      <c r="C109" s="162"/>
    </row>
    <row r="110" spans="1:4" x14ac:dyDescent="0.45">
      <c r="A110" s="157" t="str">
        <f>Traduction!C86</f>
        <v>Société de gestion 1</v>
      </c>
      <c r="B110" s="157"/>
      <c r="C110" s="157"/>
    </row>
    <row r="111" spans="1:4" x14ac:dyDescent="0.45">
      <c r="A111" s="14" t="str">
        <f>Traduction!C91</f>
        <v>Nom de la société</v>
      </c>
      <c r="B111" s="138"/>
      <c r="C111" s="139"/>
      <c r="D111" s="8" t="b">
        <f t="shared" ref="D111:D123" si="9">IF(NbGestions&gt;=1,IF((B111=""),TRUE))</f>
        <v>1</v>
      </c>
    </row>
    <row r="112" spans="1:4" x14ac:dyDescent="0.45">
      <c r="A112" s="14" t="str">
        <f>Traduction!C92</f>
        <v xml:space="preserve">Je joins une copie de tous les relevés de placements </v>
      </c>
      <c r="B112" s="138"/>
      <c r="C112" s="139"/>
      <c r="D112" s="8" t="b">
        <f t="shared" si="9"/>
        <v>1</v>
      </c>
    </row>
    <row r="113" spans="1:5" x14ac:dyDescent="0.45">
      <c r="A113" s="14" t="str">
        <f>Traduction!C93</f>
        <v>Je joins une copie des états financiers</v>
      </c>
      <c r="B113" s="181"/>
      <c r="C113" s="181"/>
      <c r="D113" s="8" t="b">
        <f t="shared" si="9"/>
        <v>1</v>
      </c>
    </row>
    <row r="114" spans="1:5" ht="14.65" thickBot="1" x14ac:dyDescent="0.5">
      <c r="A114" s="14" t="str">
        <f>Traduction!C94</f>
        <v>Je joins une copie de la déclaration de revenus fédérale T2</v>
      </c>
      <c r="B114" s="138"/>
      <c r="C114" s="139"/>
      <c r="D114" s="8" t="b">
        <f t="shared" si="9"/>
        <v>1</v>
      </c>
    </row>
    <row r="115" spans="1:5" ht="15" thickTop="1" thickBot="1" x14ac:dyDescent="0.5">
      <c r="A115" s="14" t="str">
        <f>Traduction!C95</f>
        <v>Pourcentage des actions ordinaires détenues par le client ou le conjoint (%)</v>
      </c>
      <c r="B115" s="96"/>
      <c r="C115" s="97"/>
      <c r="D115" s="8" t="b">
        <f>IF((AND((B115=""),(C115=""),NbGestions&gt;=1)),TRUE)</f>
        <v>1</v>
      </c>
      <c r="E115" s="8"/>
    </row>
    <row r="116" spans="1:5" ht="14.65" thickTop="1" x14ac:dyDescent="0.45">
      <c r="A116" s="14" t="str">
        <f>Traduction!C96</f>
        <v>Actions à dividendes discrétionnaires au conjoint</v>
      </c>
      <c r="B116" s="182"/>
      <c r="C116" s="183"/>
      <c r="D116" s="8" t="b">
        <f t="shared" si="9"/>
        <v>1</v>
      </c>
    </row>
    <row r="117" spans="1:5" x14ac:dyDescent="0.45">
      <c r="A117" s="14" t="str">
        <f>Traduction!C97</f>
        <v>Solde des comptes de placements ($)</v>
      </c>
      <c r="B117" s="166"/>
      <c r="C117" s="166"/>
      <c r="D117" s="8" t="b">
        <f t="shared" si="9"/>
        <v>1</v>
      </c>
    </row>
    <row r="118" spans="1:5" x14ac:dyDescent="0.45">
      <c r="A118" s="14" t="str">
        <f>Traduction!C98</f>
        <v>PBR des comptes de placements ($)</v>
      </c>
      <c r="B118" s="148"/>
      <c r="C118" s="149"/>
      <c r="D118" s="8" t="b">
        <f t="shared" si="9"/>
        <v>1</v>
      </c>
    </row>
    <row r="119" spans="1:5" x14ac:dyDescent="0.45">
      <c r="A119" s="14" t="str">
        <f>Traduction!C99</f>
        <v>Solde IMRTD non déterminé ($)</v>
      </c>
      <c r="B119" s="158" t="str">
        <f>IF(OR($B$114="Oui",$B$114="Yes"),Traduction!$C$327,"")</f>
        <v/>
      </c>
      <c r="C119" s="154"/>
      <c r="D119" s="8" t="b">
        <f t="shared" si="9"/>
        <v>1</v>
      </c>
    </row>
    <row r="120" spans="1:5" x14ac:dyDescent="0.45">
      <c r="A120" s="14" t="str">
        <f>Traduction!C100</f>
        <v>Solde IMRTD déterminé ($)</v>
      </c>
      <c r="B120" s="158" t="str">
        <f>IF(OR($B$114="Oui",$B$114="Yes"),Traduction!$C$327,"")</f>
        <v/>
      </c>
      <c r="C120" s="154"/>
      <c r="D120" s="8" t="b">
        <f t="shared" si="9"/>
        <v>1</v>
      </c>
    </row>
    <row r="121" spans="1:5" x14ac:dyDescent="0.45">
      <c r="A121" s="14" t="str">
        <f>Traduction!C101</f>
        <v>Solde CRTG ($)</v>
      </c>
      <c r="B121" s="158" t="str">
        <f>IF(OR($B$114="Oui",$B$114="Yes"),Traduction!$C$327,"")</f>
        <v/>
      </c>
      <c r="C121" s="154"/>
      <c r="D121" s="8" t="b">
        <f t="shared" si="9"/>
        <v>1</v>
      </c>
    </row>
    <row r="122" spans="1:5" x14ac:dyDescent="0.45">
      <c r="A122" s="14" t="str">
        <f>Traduction!C102</f>
        <v>Solde CDC ($)</v>
      </c>
      <c r="B122" s="158" t="str">
        <f>IF(OR($B$114="Oui",$B$114="Yes"),Traduction!$C$327,"")</f>
        <v/>
      </c>
      <c r="C122" s="154"/>
      <c r="D122" s="8" t="b">
        <f t="shared" si="9"/>
        <v>1</v>
      </c>
    </row>
    <row r="123" spans="1:5" x14ac:dyDescent="0.45">
      <c r="A123" s="14" t="str">
        <f>Traduction!C103</f>
        <v>Dépenses annuelles excluant les primes d'assurances-vie et invalidité ($)</v>
      </c>
      <c r="B123" s="158" t="str">
        <f>IF(OR($B$114="Oui",$B$114="Yes"),Traduction!$C$327,"")</f>
        <v/>
      </c>
      <c r="C123" s="154"/>
      <c r="D123" s="8" t="b">
        <f t="shared" si="9"/>
        <v>1</v>
      </c>
    </row>
    <row r="124" spans="1:5" hidden="1" x14ac:dyDescent="0.45">
      <c r="A124" s="157" t="str">
        <f>Traduction!C87</f>
        <v>Société de gestion 2</v>
      </c>
      <c r="B124" s="157"/>
      <c r="C124" s="157"/>
    </row>
    <row r="125" spans="1:5" hidden="1" x14ac:dyDescent="0.45">
      <c r="A125" s="14" t="str">
        <f>Traduction!C91</f>
        <v>Nom de la société</v>
      </c>
      <c r="B125" s="138"/>
      <c r="C125" s="139"/>
      <c r="D125" s="8" t="b">
        <f t="shared" ref="D125:D137" si="10">IF(NbGestions&gt;=2,IF((B125=""),TRUE))</f>
        <v>0</v>
      </c>
    </row>
    <row r="126" spans="1:5" hidden="1" x14ac:dyDescent="0.45">
      <c r="A126" s="14" t="str">
        <f>Traduction!C92</f>
        <v xml:space="preserve">Je joins une copie de tous les relevés de placements </v>
      </c>
      <c r="B126" s="138"/>
      <c r="C126" s="139"/>
      <c r="D126" s="8" t="b">
        <f t="shared" si="10"/>
        <v>0</v>
      </c>
    </row>
    <row r="127" spans="1:5" hidden="1" x14ac:dyDescent="0.45">
      <c r="A127" s="14" t="str">
        <f>Traduction!C93</f>
        <v>Je joins une copie des états financiers</v>
      </c>
      <c r="B127" s="138"/>
      <c r="C127" s="139"/>
      <c r="D127" s="8" t="b">
        <f t="shared" si="10"/>
        <v>0</v>
      </c>
    </row>
    <row r="128" spans="1:5" ht="14.65" hidden="1" thickBot="1" x14ac:dyDescent="0.5">
      <c r="A128" s="14" t="str">
        <f>Traduction!C94</f>
        <v>Je joins une copie de la déclaration de revenus fédérale T2</v>
      </c>
      <c r="B128" s="138"/>
      <c r="C128" s="139"/>
      <c r="D128" s="8" t="b">
        <f t="shared" si="10"/>
        <v>0</v>
      </c>
    </row>
    <row r="129" spans="1:4" ht="15" hidden="1" thickTop="1" thickBot="1" x14ac:dyDescent="0.5">
      <c r="A129" s="14" t="str">
        <f>Traduction!C95</f>
        <v>Pourcentage des actions ordinaires détenues par le client ou le conjoint (%)</v>
      </c>
      <c r="B129" s="96"/>
      <c r="C129" s="97"/>
      <c r="D129" s="8" t="b">
        <f>IF((AND((B129=""),(C129=""),NbGestions&gt;=2)),TRUE)</f>
        <v>0</v>
      </c>
    </row>
    <row r="130" spans="1:4" ht="14.65" hidden="1" thickTop="1" x14ac:dyDescent="0.45">
      <c r="A130" s="14" t="str">
        <f>Traduction!C96</f>
        <v>Actions à dividendes discrétionnaires au conjoint</v>
      </c>
      <c r="B130" s="182"/>
      <c r="C130" s="183"/>
      <c r="D130" s="8" t="b">
        <f t="shared" si="10"/>
        <v>0</v>
      </c>
    </row>
    <row r="131" spans="1:4" hidden="1" x14ac:dyDescent="0.45">
      <c r="A131" s="14" t="str">
        <f>Traduction!C97</f>
        <v>Solde des comptes de placements ($)</v>
      </c>
      <c r="B131" s="166"/>
      <c r="C131" s="166"/>
      <c r="D131" s="8" t="b">
        <f t="shared" si="10"/>
        <v>0</v>
      </c>
    </row>
    <row r="132" spans="1:4" hidden="1" x14ac:dyDescent="0.45">
      <c r="A132" s="14" t="str">
        <f>Traduction!C98</f>
        <v>PBR des comptes de placements ($)</v>
      </c>
      <c r="B132" s="148"/>
      <c r="C132" s="149"/>
      <c r="D132" s="8" t="b">
        <f t="shared" si="10"/>
        <v>0</v>
      </c>
    </row>
    <row r="133" spans="1:4" hidden="1" x14ac:dyDescent="0.45">
      <c r="A133" s="14" t="str">
        <f>Traduction!C99</f>
        <v>Solde IMRTD non déterminé ($)</v>
      </c>
      <c r="B133" s="158" t="str">
        <f>IF(OR(B128="Oui",B128="Yes"),Traduction!C327,"")</f>
        <v/>
      </c>
      <c r="C133" s="154"/>
      <c r="D133" s="8" t="b">
        <f t="shared" si="10"/>
        <v>0</v>
      </c>
    </row>
    <row r="134" spans="1:4" hidden="1" x14ac:dyDescent="0.45">
      <c r="A134" s="14" t="str">
        <f>Traduction!C100</f>
        <v>Solde IMRTD déterminé ($)</v>
      </c>
      <c r="B134" s="158" t="str">
        <f>IF(OR(B128="Oui",B128="Yes"),Traduction!C327,"")</f>
        <v/>
      </c>
      <c r="C134" s="154"/>
      <c r="D134" s="8" t="b">
        <f t="shared" si="10"/>
        <v>0</v>
      </c>
    </row>
    <row r="135" spans="1:4" hidden="1" x14ac:dyDescent="0.45">
      <c r="A135" s="14" t="str">
        <f>Traduction!C101</f>
        <v>Solde CRTG ($)</v>
      </c>
      <c r="B135" s="158" t="str">
        <f>IF(OR(B128="Oui",B128="Yes"),Traduction!C327,"")</f>
        <v/>
      </c>
      <c r="C135" s="154"/>
      <c r="D135" s="8" t="b">
        <f t="shared" si="10"/>
        <v>0</v>
      </c>
    </row>
    <row r="136" spans="1:4" hidden="1" x14ac:dyDescent="0.45">
      <c r="A136" s="14" t="str">
        <f>Traduction!C102</f>
        <v>Solde CDC ($)</v>
      </c>
      <c r="B136" s="158" t="str">
        <f>IF(OR(B128="Oui",B128="Yes"),Traduction!C327,"")</f>
        <v/>
      </c>
      <c r="C136" s="154"/>
      <c r="D136" s="8" t="b">
        <f t="shared" si="10"/>
        <v>0</v>
      </c>
    </row>
    <row r="137" spans="1:4" hidden="1" x14ac:dyDescent="0.45">
      <c r="A137" s="14" t="str">
        <f>Traduction!C103</f>
        <v>Dépenses annuelles excluant les primes d'assurances-vie et invalidité ($)</v>
      </c>
      <c r="B137" s="158" t="str">
        <f>IF(OR(B128="Oui",B128="Yes"),Traduction!C327,"")</f>
        <v/>
      </c>
      <c r="C137" s="154"/>
      <c r="D137" s="8" t="b">
        <f t="shared" si="10"/>
        <v>0</v>
      </c>
    </row>
    <row r="138" spans="1:4" hidden="1" x14ac:dyDescent="0.45">
      <c r="A138" s="157" t="str">
        <f>Traduction!C88</f>
        <v>Société de gestion 3</v>
      </c>
      <c r="B138" s="157"/>
      <c r="C138" s="157"/>
    </row>
    <row r="139" spans="1:4" hidden="1" x14ac:dyDescent="0.45">
      <c r="A139" s="14" t="str">
        <f>Traduction!C91</f>
        <v>Nom de la société</v>
      </c>
      <c r="B139" s="138"/>
      <c r="C139" s="139"/>
      <c r="D139" s="8" t="b">
        <f t="shared" ref="D139:D151" si="11">IF(NbGestions&gt;=3,IF((B139=""),TRUE))</f>
        <v>0</v>
      </c>
    </row>
    <row r="140" spans="1:4" hidden="1" x14ac:dyDescent="0.45">
      <c r="A140" s="14" t="str">
        <f>Traduction!C92</f>
        <v xml:space="preserve">Je joins une copie de tous les relevés de placements </v>
      </c>
      <c r="B140" s="138"/>
      <c r="C140" s="139"/>
      <c r="D140" s="8" t="b">
        <f t="shared" si="11"/>
        <v>0</v>
      </c>
    </row>
    <row r="141" spans="1:4" hidden="1" x14ac:dyDescent="0.45">
      <c r="A141" s="14" t="str">
        <f>Traduction!C93</f>
        <v>Je joins une copie des états financiers</v>
      </c>
      <c r="B141" s="138"/>
      <c r="C141" s="139"/>
      <c r="D141" s="8" t="b">
        <f t="shared" si="11"/>
        <v>0</v>
      </c>
    </row>
    <row r="142" spans="1:4" ht="14.65" hidden="1" thickBot="1" x14ac:dyDescent="0.5">
      <c r="A142" s="14" t="str">
        <f>Traduction!C94</f>
        <v>Je joins une copie de la déclaration de revenus fédérale T2</v>
      </c>
      <c r="B142" s="138"/>
      <c r="C142" s="139"/>
      <c r="D142" s="8" t="b">
        <f t="shared" si="11"/>
        <v>0</v>
      </c>
    </row>
    <row r="143" spans="1:4" ht="15" hidden="1" thickTop="1" thickBot="1" x14ac:dyDescent="0.5">
      <c r="A143" s="14" t="str">
        <f>Traduction!C95</f>
        <v>Pourcentage des actions ordinaires détenues par le client ou le conjoint (%)</v>
      </c>
      <c r="B143" s="96"/>
      <c r="C143" s="97"/>
      <c r="D143" s="8" t="b">
        <f>IF((AND((B143=""),(C143=""),NbGestions&gt;=3)),TRUE)</f>
        <v>0</v>
      </c>
    </row>
    <row r="144" spans="1:4" ht="14.65" hidden="1" thickTop="1" x14ac:dyDescent="0.45">
      <c r="A144" s="14" t="str">
        <f>Traduction!C96</f>
        <v>Actions à dividendes discrétionnaires au conjoint</v>
      </c>
      <c r="B144" s="182"/>
      <c r="C144" s="183"/>
      <c r="D144" s="8" t="b">
        <f t="shared" si="11"/>
        <v>0</v>
      </c>
    </row>
    <row r="145" spans="1:4" hidden="1" x14ac:dyDescent="0.45">
      <c r="A145" s="14" t="str">
        <f>Traduction!C97</f>
        <v>Solde des comptes de placements ($)</v>
      </c>
      <c r="B145" s="166"/>
      <c r="C145" s="166"/>
      <c r="D145" s="8" t="b">
        <f t="shared" si="11"/>
        <v>0</v>
      </c>
    </row>
    <row r="146" spans="1:4" hidden="1" x14ac:dyDescent="0.45">
      <c r="A146" s="14" t="str">
        <f>Traduction!C98</f>
        <v>PBR des comptes de placements ($)</v>
      </c>
      <c r="B146" s="169"/>
      <c r="C146" s="170"/>
      <c r="D146" s="8" t="b">
        <f t="shared" si="11"/>
        <v>0</v>
      </c>
    </row>
    <row r="147" spans="1:4" hidden="1" x14ac:dyDescent="0.45">
      <c r="A147" s="14" t="str">
        <f>Traduction!C99</f>
        <v>Solde IMRTD non déterminé ($)</v>
      </c>
      <c r="B147" s="158" t="str">
        <f>IF(OR(B142="Oui",B142="Yes"),Traduction!C327,"")</f>
        <v/>
      </c>
      <c r="C147" s="154"/>
      <c r="D147" s="8" t="b">
        <f t="shared" si="11"/>
        <v>0</v>
      </c>
    </row>
    <row r="148" spans="1:4" hidden="1" x14ac:dyDescent="0.45">
      <c r="A148" s="14" t="str">
        <f>Traduction!C100</f>
        <v>Solde IMRTD déterminé ($)</v>
      </c>
      <c r="B148" s="158" t="str">
        <f>IF(OR(B142="Oui",B142="Yes"),Traduction!C327,"")</f>
        <v/>
      </c>
      <c r="C148" s="154"/>
      <c r="D148" s="8" t="b">
        <f t="shared" si="11"/>
        <v>0</v>
      </c>
    </row>
    <row r="149" spans="1:4" hidden="1" x14ac:dyDescent="0.45">
      <c r="A149" s="14" t="str">
        <f>Traduction!C101</f>
        <v>Solde CRTG ($)</v>
      </c>
      <c r="B149" s="158" t="str">
        <f>IF(OR(B142="Oui",B142="Yes"),Traduction!C327,"")</f>
        <v/>
      </c>
      <c r="C149" s="154"/>
      <c r="D149" s="8" t="b">
        <f t="shared" si="11"/>
        <v>0</v>
      </c>
    </row>
    <row r="150" spans="1:4" hidden="1" x14ac:dyDescent="0.45">
      <c r="A150" s="14" t="str">
        <f>Traduction!C102</f>
        <v>Solde CDC ($)</v>
      </c>
      <c r="B150" s="158" t="str">
        <f>IF(OR(B142="Oui",B142="Yes"),Traduction!C327,"")</f>
        <v/>
      </c>
      <c r="C150" s="154"/>
      <c r="D150" s="8" t="b">
        <f t="shared" si="11"/>
        <v>0</v>
      </c>
    </row>
    <row r="151" spans="1:4" hidden="1" x14ac:dyDescent="0.45">
      <c r="A151" s="14" t="str">
        <f>Traduction!C103</f>
        <v>Dépenses annuelles excluant les primes d'assurances-vie et invalidité ($)</v>
      </c>
      <c r="B151" s="158" t="str">
        <f>IF(OR(B142="Oui",B142="Yes"),Traduction!C327,"")</f>
        <v/>
      </c>
      <c r="C151" s="154"/>
      <c r="D151" s="8" t="b">
        <f t="shared" si="11"/>
        <v>0</v>
      </c>
    </row>
    <row r="152" spans="1:4" hidden="1" x14ac:dyDescent="0.45">
      <c r="A152" s="157" t="str">
        <f>Traduction!C89</f>
        <v>Société de gestion 4</v>
      </c>
      <c r="B152" s="157"/>
      <c r="C152" s="157"/>
    </row>
    <row r="153" spans="1:4" hidden="1" x14ac:dyDescent="0.45">
      <c r="A153" s="14" t="str">
        <f>Traduction!C91</f>
        <v>Nom de la société</v>
      </c>
      <c r="B153" s="138"/>
      <c r="C153" s="139"/>
      <c r="D153" s="8" t="b">
        <f t="shared" ref="D153:D165" si="12">IF(NbGestions&gt;=4,IF((B153=""),TRUE))</f>
        <v>0</v>
      </c>
    </row>
    <row r="154" spans="1:4" hidden="1" x14ac:dyDescent="0.45">
      <c r="A154" s="14" t="str">
        <f>Traduction!C92</f>
        <v xml:space="preserve">Je joins une copie de tous les relevés de placements </v>
      </c>
      <c r="B154" s="138"/>
      <c r="C154" s="139"/>
      <c r="D154" s="8" t="b">
        <f t="shared" si="12"/>
        <v>0</v>
      </c>
    </row>
    <row r="155" spans="1:4" hidden="1" x14ac:dyDescent="0.45">
      <c r="A155" s="14" t="str">
        <f>Traduction!C93</f>
        <v>Je joins une copie des états financiers</v>
      </c>
      <c r="B155" s="138"/>
      <c r="C155" s="139"/>
      <c r="D155" s="8" t="b">
        <f t="shared" si="12"/>
        <v>0</v>
      </c>
    </row>
    <row r="156" spans="1:4" ht="14.65" hidden="1" thickBot="1" x14ac:dyDescent="0.5">
      <c r="A156" s="14" t="str">
        <f>Traduction!C94</f>
        <v>Je joins une copie de la déclaration de revenus fédérale T2</v>
      </c>
      <c r="B156" s="138"/>
      <c r="C156" s="139"/>
      <c r="D156" s="8" t="b">
        <f t="shared" si="12"/>
        <v>0</v>
      </c>
    </row>
    <row r="157" spans="1:4" ht="15" hidden="1" thickTop="1" thickBot="1" x14ac:dyDescent="0.5">
      <c r="A157" s="14" t="str">
        <f>Traduction!C95</f>
        <v>Pourcentage des actions ordinaires détenues par le client ou le conjoint (%)</v>
      </c>
      <c r="B157" s="96"/>
      <c r="C157" s="97"/>
      <c r="D157" s="8" t="b">
        <f>IF((AND((B157=""),(C157=""),NbGestions&gt;=4)),TRUE)</f>
        <v>0</v>
      </c>
    </row>
    <row r="158" spans="1:4" ht="14.65" hidden="1" thickTop="1" x14ac:dyDescent="0.45">
      <c r="A158" s="14" t="str">
        <f>Traduction!C96</f>
        <v>Actions à dividendes discrétionnaires au conjoint</v>
      </c>
      <c r="B158" s="182"/>
      <c r="C158" s="183"/>
      <c r="D158" s="8" t="b">
        <f t="shared" si="12"/>
        <v>0</v>
      </c>
    </row>
    <row r="159" spans="1:4" hidden="1" x14ac:dyDescent="0.45">
      <c r="A159" s="14" t="str">
        <f>Traduction!C97</f>
        <v>Solde des comptes de placements ($)</v>
      </c>
      <c r="B159" s="166"/>
      <c r="C159" s="166"/>
      <c r="D159" s="8" t="b">
        <f t="shared" si="12"/>
        <v>0</v>
      </c>
    </row>
    <row r="160" spans="1:4" hidden="1" x14ac:dyDescent="0.45">
      <c r="A160" s="14" t="str">
        <f>Traduction!C98</f>
        <v>PBR des comptes de placements ($)</v>
      </c>
      <c r="B160" s="169"/>
      <c r="C160" s="170"/>
      <c r="D160" s="8" t="b">
        <f t="shared" si="12"/>
        <v>0</v>
      </c>
    </row>
    <row r="161" spans="1:4" hidden="1" x14ac:dyDescent="0.45">
      <c r="A161" s="14" t="str">
        <f>Traduction!C99</f>
        <v>Solde IMRTD non déterminé ($)</v>
      </c>
      <c r="B161" s="158" t="str">
        <f>IF(OR(B156="Oui",B156="Yes"),Traduction!C327,"")</f>
        <v/>
      </c>
      <c r="C161" s="154"/>
      <c r="D161" s="8" t="b">
        <f t="shared" si="12"/>
        <v>0</v>
      </c>
    </row>
    <row r="162" spans="1:4" hidden="1" x14ac:dyDescent="0.45">
      <c r="A162" s="14" t="str">
        <f>Traduction!C100</f>
        <v>Solde IMRTD déterminé ($)</v>
      </c>
      <c r="B162" s="158" t="str">
        <f>IF(OR(B156="Oui",B156="Yes"),Traduction!C327,"")</f>
        <v/>
      </c>
      <c r="C162" s="154"/>
      <c r="D162" s="8" t="b">
        <f t="shared" si="12"/>
        <v>0</v>
      </c>
    </row>
    <row r="163" spans="1:4" hidden="1" x14ac:dyDescent="0.45">
      <c r="A163" s="14" t="str">
        <f>Traduction!C101</f>
        <v>Solde CRTG ($)</v>
      </c>
      <c r="B163" s="158" t="str">
        <f>IF(OR(B156="Oui",B156="Yes"),Traduction!C327,"")</f>
        <v/>
      </c>
      <c r="C163" s="154"/>
      <c r="D163" s="8" t="b">
        <f t="shared" si="12"/>
        <v>0</v>
      </c>
    </row>
    <row r="164" spans="1:4" hidden="1" x14ac:dyDescent="0.45">
      <c r="A164" s="14" t="str">
        <f>Traduction!C102</f>
        <v>Solde CDC ($)</v>
      </c>
      <c r="B164" s="158" t="str">
        <f>IF(OR(B156="Oui",B156="Yes"),Traduction!C327,"")</f>
        <v/>
      </c>
      <c r="C164" s="154"/>
      <c r="D164" s="8" t="b">
        <f t="shared" si="12"/>
        <v>0</v>
      </c>
    </row>
    <row r="165" spans="1:4" hidden="1" x14ac:dyDescent="0.45">
      <c r="A165" s="14" t="str">
        <f>Traduction!C103</f>
        <v>Dépenses annuelles excluant les primes d'assurances-vie et invalidité ($)</v>
      </c>
      <c r="B165" s="158" t="str">
        <f>IF(OR(B156="Oui",B156="Yes"),Traduction!C327,"")</f>
        <v/>
      </c>
      <c r="C165" s="154"/>
      <c r="D165" s="8" t="b">
        <f t="shared" si="12"/>
        <v>0</v>
      </c>
    </row>
    <row r="166" spans="1:4" hidden="1" x14ac:dyDescent="0.45">
      <c r="A166" s="157" t="str">
        <f>Traduction!C90</f>
        <v>Société de gestion 5</v>
      </c>
      <c r="B166" s="157"/>
      <c r="C166" s="157"/>
    </row>
    <row r="167" spans="1:4" hidden="1" x14ac:dyDescent="0.45">
      <c r="A167" s="14" t="str">
        <f>Traduction!C91</f>
        <v>Nom de la société</v>
      </c>
      <c r="B167" s="138"/>
      <c r="C167" s="139"/>
      <c r="D167" s="8" t="b">
        <f t="shared" ref="D167:D179" si="13">IF(NbGestions&gt;=5,IF((B167=""),TRUE))</f>
        <v>0</v>
      </c>
    </row>
    <row r="168" spans="1:4" hidden="1" x14ac:dyDescent="0.45">
      <c r="A168" s="14" t="str">
        <f>Traduction!C92</f>
        <v xml:space="preserve">Je joins une copie de tous les relevés de placements </v>
      </c>
      <c r="B168" s="138"/>
      <c r="C168" s="139"/>
      <c r="D168" s="8" t="b">
        <f t="shared" si="13"/>
        <v>0</v>
      </c>
    </row>
    <row r="169" spans="1:4" hidden="1" x14ac:dyDescent="0.45">
      <c r="A169" s="14" t="str">
        <f>Traduction!C93</f>
        <v>Je joins une copie des états financiers</v>
      </c>
      <c r="B169" s="138"/>
      <c r="C169" s="139"/>
      <c r="D169" s="8" t="b">
        <f t="shared" si="13"/>
        <v>0</v>
      </c>
    </row>
    <row r="170" spans="1:4" ht="14.65" hidden="1" thickBot="1" x14ac:dyDescent="0.5">
      <c r="A170" s="14" t="str">
        <f>Traduction!C94</f>
        <v>Je joins une copie de la déclaration de revenus fédérale T2</v>
      </c>
      <c r="B170" s="138"/>
      <c r="C170" s="139"/>
      <c r="D170" s="8" t="b">
        <f t="shared" si="13"/>
        <v>0</v>
      </c>
    </row>
    <row r="171" spans="1:4" ht="15" hidden="1" thickTop="1" thickBot="1" x14ac:dyDescent="0.5">
      <c r="A171" s="14" t="str">
        <f>Traduction!C95</f>
        <v>Pourcentage des actions ordinaires détenues par le client ou le conjoint (%)</v>
      </c>
      <c r="B171" s="96"/>
      <c r="C171" s="97"/>
      <c r="D171" s="8" t="b">
        <f>IF((AND((B171=""),(C171=""),NbGestions&gt;=5)),TRUE)</f>
        <v>0</v>
      </c>
    </row>
    <row r="172" spans="1:4" ht="14.65" hidden="1" thickTop="1" x14ac:dyDescent="0.45">
      <c r="A172" s="14" t="str">
        <f>Traduction!C96</f>
        <v>Actions à dividendes discrétionnaires au conjoint</v>
      </c>
      <c r="B172" s="182"/>
      <c r="C172" s="183"/>
      <c r="D172" s="8" t="b">
        <f t="shared" si="13"/>
        <v>0</v>
      </c>
    </row>
    <row r="173" spans="1:4" hidden="1" x14ac:dyDescent="0.45">
      <c r="A173" s="14" t="str">
        <f>Traduction!C97</f>
        <v>Solde des comptes de placements ($)</v>
      </c>
      <c r="B173" s="166"/>
      <c r="C173" s="166"/>
      <c r="D173" s="8" t="b">
        <f t="shared" si="13"/>
        <v>0</v>
      </c>
    </row>
    <row r="174" spans="1:4" hidden="1" x14ac:dyDescent="0.45">
      <c r="A174" s="14" t="str">
        <f>Traduction!C98</f>
        <v>PBR des comptes de placements ($)</v>
      </c>
      <c r="B174" s="169"/>
      <c r="C174" s="170"/>
      <c r="D174" s="8" t="b">
        <f t="shared" si="13"/>
        <v>0</v>
      </c>
    </row>
    <row r="175" spans="1:4" hidden="1" x14ac:dyDescent="0.45">
      <c r="A175" s="14" t="str">
        <f>Traduction!C99</f>
        <v>Solde IMRTD non déterminé ($)</v>
      </c>
      <c r="B175" s="158" t="str">
        <f>IF(OR(B170="Oui",B170="Yes"),Traduction!C327,"")</f>
        <v/>
      </c>
      <c r="C175" s="154"/>
      <c r="D175" s="8" t="b">
        <f t="shared" si="13"/>
        <v>0</v>
      </c>
    </row>
    <row r="176" spans="1:4" hidden="1" x14ac:dyDescent="0.45">
      <c r="A176" s="14" t="str">
        <f>Traduction!C100</f>
        <v>Solde IMRTD déterminé ($)</v>
      </c>
      <c r="B176" s="158" t="str">
        <f>IF(OR(B170="Oui",B170="Yes"),Traduction!C327,"")</f>
        <v/>
      </c>
      <c r="C176" s="154"/>
      <c r="D176" s="8" t="b">
        <f t="shared" si="13"/>
        <v>0</v>
      </c>
    </row>
    <row r="177" spans="1:8" hidden="1" x14ac:dyDescent="0.45">
      <c r="A177" s="14" t="str">
        <f>Traduction!C101</f>
        <v>Solde CRTG ($)</v>
      </c>
      <c r="B177" s="158" t="str">
        <f>IF(OR(B170="Oui",B170="Yes"),Traduction!C327,"")</f>
        <v/>
      </c>
      <c r="C177" s="154"/>
      <c r="D177" s="8" t="b">
        <f t="shared" si="13"/>
        <v>0</v>
      </c>
    </row>
    <row r="178" spans="1:8" hidden="1" x14ac:dyDescent="0.45">
      <c r="A178" s="14" t="str">
        <f>Traduction!C102</f>
        <v>Solde CDC ($)</v>
      </c>
      <c r="B178" s="158" t="str">
        <f>IF(OR(B170="Oui",B170="Yes"),Traduction!C327,"")</f>
        <v/>
      </c>
      <c r="C178" s="154"/>
      <c r="D178" s="8" t="b">
        <f t="shared" si="13"/>
        <v>0</v>
      </c>
    </row>
    <row r="179" spans="1:8" hidden="1" x14ac:dyDescent="0.45">
      <c r="A179" s="14" t="str">
        <f>Traduction!C103</f>
        <v>Dépenses annuelles excluant les primes d'assurances-vie et invalidité ($)</v>
      </c>
      <c r="B179" s="158" t="str">
        <f>IF(OR(B170="Oui",B170="Yes"),Traduction!C327,"")</f>
        <v/>
      </c>
      <c r="C179" s="154"/>
      <c r="D179" s="8" t="b">
        <f t="shared" si="13"/>
        <v>0</v>
      </c>
    </row>
    <row r="180" spans="1:8" ht="17.649999999999999" customHeight="1" x14ac:dyDescent="0.55000000000000004">
      <c r="A180" s="159" t="str">
        <f>Traduction!C104</f>
        <v>Société(s) opérante(s)</v>
      </c>
      <c r="B180" s="159"/>
      <c r="C180" s="159"/>
      <c r="F180" s="86" t="s">
        <v>9</v>
      </c>
      <c r="G180" s="87" t="s">
        <v>10</v>
      </c>
      <c r="H180" s="67"/>
    </row>
    <row r="181" spans="1:8" x14ac:dyDescent="0.45">
      <c r="A181" s="162"/>
      <c r="B181" s="162"/>
      <c r="C181" s="162"/>
      <c r="F181" s="83" t="str">
        <f>NomPrenom</f>
        <v>Monsieur X</v>
      </c>
      <c r="G181" s="1" t="str" cm="1">
        <f t="array" ref="G181">IFERROR(IF(ROWS(G$181:G181)&gt;COUNTA($F$181:$F$208),"",INDEX($F$181:$F$208,SMALL(IF($F$181:$F$208&lt;&gt;0,ROW($F$181:$F$208)-ROW($F$181)+1),ROWS(G$181:G181)))),"")</f>
        <v>Monsieur X</v>
      </c>
    </row>
    <row r="182" spans="1:8" x14ac:dyDescent="0.45">
      <c r="A182" s="157" t="str">
        <f>Traduction!C105</f>
        <v>Société opérante 1</v>
      </c>
      <c r="B182" s="157"/>
      <c r="C182" s="157"/>
      <c r="F182" s="83" t="str">
        <f>NomConjoint</f>
        <v>Monsieur Y</v>
      </c>
      <c r="G182" s="1" t="str" cm="1">
        <f t="array" ref="G182">IFERROR(IF(ROWS(G$181:G182)&gt;COUNTA($F$181:$F$208),"",INDEX($F$181:$F$208,SMALL(IF($F$181:$F$208&lt;&gt;0,ROW($F$181:$F$208)-ROW($F$181)+1),ROWS(G$181:G182)))),"")</f>
        <v>Monsieur Y</v>
      </c>
    </row>
    <row r="183" spans="1:8" ht="14.65" thickBot="1" x14ac:dyDescent="0.5">
      <c r="A183" s="2" t="str">
        <f>Traduction!C91</f>
        <v>Nom de la société</v>
      </c>
      <c r="B183" s="138"/>
      <c r="C183" s="139"/>
      <c r="D183" s="8" t="b">
        <f t="shared" ref="D183:D193" si="14">IF(NbOpérantes&gt;=1,IF(B183="",TRUE))</f>
        <v>1</v>
      </c>
      <c r="F183" s="1" t="str">
        <f>IF(NomConjoint="","", TEXT($F$181,32)&amp; " et " &amp; TEXT($F$182,""))</f>
        <v>Monsieur X et Monsieur Y</v>
      </c>
      <c r="G183" s="1" t="str" cm="1">
        <f t="array" ref="G183">IFERROR(IF(ROWS(G$181:G183)&gt;COUNTA($F$181:$F$208),"",INDEX($F$181:$F$208,SMALL(IF($F$181:$F$208&lt;&gt;0,ROW($F$181:$F$208)-ROW($F$181)+1),ROWS(G$181:G183)))),"")</f>
        <v>Monsieur X et Monsieur Y</v>
      </c>
    </row>
    <row r="184" spans="1:8" ht="15" thickTop="1" thickBot="1" x14ac:dyDescent="0.5">
      <c r="A184" s="2" t="str">
        <f>Traduction!C115</f>
        <v>Salaire annuel versé au client/conjoint</v>
      </c>
      <c r="B184" s="98" t="str">
        <f>IF(OR(B24="Oui",B24="Yes")+OR(Filtres!B25="Oui",Filtres!B25="Yes"),Traduction!C327,"")</f>
        <v/>
      </c>
      <c r="C184" s="99" t="str">
        <f>IF(OR(C24="Oui",C24="Yes")+OR(Filtres!B25="Oui",Filtres!B25="Yes"),Traduction!C327,"")</f>
        <v/>
      </c>
      <c r="D184" s="8" t="b">
        <f>IF((AND((B184=""),(C184=""),NbOpérantes&gt;=1)),TRUE)</f>
        <v>1</v>
      </c>
      <c r="F184" s="117">
        <f>$B$111</f>
        <v>0</v>
      </c>
      <c r="G184" s="117" t="str" cm="1">
        <f t="array" ref="G184">IFERROR(IF(ROWS(G$181:G184)&gt;COUNTA($F$181:$F$208),"",INDEX($F$181:$F$208,SMALL(IF($F$181:$F$208&lt;&gt;0,ROW($F$181:$F$208)-ROW($F$181)+1),ROWS(G$181:G184)))),"")</f>
        <v/>
      </c>
    </row>
    <row r="185" spans="1:8" ht="14.65" thickTop="1" x14ac:dyDescent="0.45">
      <c r="A185" s="2" t="str">
        <f>Traduction!C116</f>
        <v>Nom de la personne/société qui détient les actions de cette entreprise</v>
      </c>
      <c r="B185" s="138"/>
      <c r="C185" s="139"/>
      <c r="D185" s="8" t="b">
        <f>IF(NbOpérantes&gt;=1,IF(B185="",TRUE))</f>
        <v>1</v>
      </c>
      <c r="F185" s="117">
        <f>$B$125</f>
        <v>0</v>
      </c>
      <c r="G185" s="117" t="str" cm="1">
        <f t="array" ref="G185">IFERROR(IF(ROWS(G$181:G185)&gt;COUNTA($F$181:$F$208),"",INDEX($F$181:$F$208,SMALL(IF($F$181:$F$208&lt;&gt;0,ROW($F$181:$F$208)-ROW($F$181)+1),ROWS(G$181:G185)))),"")</f>
        <v/>
      </c>
    </row>
    <row r="186" spans="1:8" x14ac:dyDescent="0.45">
      <c r="A186" s="2" t="str">
        <f>Traduction!C117</f>
        <v>Pourcentage détenu par la personne/société inscrite ci-dessus (%)</v>
      </c>
      <c r="B186" s="161"/>
      <c r="C186" s="152"/>
      <c r="D186" s="8" t="b">
        <f t="shared" si="14"/>
        <v>1</v>
      </c>
      <c r="F186" s="118">
        <f>$B$139</f>
        <v>0</v>
      </c>
      <c r="G186" s="117" t="str" cm="1">
        <f t="array" ref="G186">IFERROR(IF(ROWS(G$181:G186)&gt;COUNTA($F$181:$F$208),"",INDEX($F$181:$F$208,SMALL(IF($F$181:$F$208&lt;&gt;0,ROW($F$181:$F$208)-ROW($F$181)+1),ROWS(G$181:G186)))),"")</f>
        <v/>
      </c>
    </row>
    <row r="187" spans="1:8" x14ac:dyDescent="0.45">
      <c r="A187" s="2" t="str">
        <f>Traduction!C93</f>
        <v>Je joins une copie des états financiers</v>
      </c>
      <c r="B187" s="138"/>
      <c r="C187" s="139"/>
      <c r="D187" s="8" t="b">
        <f t="shared" si="14"/>
        <v>1</v>
      </c>
      <c r="F187" s="118">
        <f>$B$153</f>
        <v>0</v>
      </c>
      <c r="G187" s="117" t="str" cm="1">
        <f t="array" ref="G187">IFERROR(IF(ROWS(G$181:G187)&gt;COUNTA($F$181:$F$208),"",INDEX($F$181:$F$208,SMALL(IF($F$181:$F$208&lt;&gt;0,ROW($F$181:$F$208)-ROW($F$181)+1),ROWS(G$181:G187)))),"")</f>
        <v/>
      </c>
    </row>
    <row r="188" spans="1:8" x14ac:dyDescent="0.45">
      <c r="A188" s="2" t="str">
        <f>Traduction!C94</f>
        <v>Je joins une copie de la déclaration de revenus fédérale T2</v>
      </c>
      <c r="B188" s="138"/>
      <c r="C188" s="139"/>
      <c r="D188" s="8" t="b">
        <f t="shared" si="14"/>
        <v>1</v>
      </c>
      <c r="F188" s="118">
        <f>$B$167</f>
        <v>0</v>
      </c>
      <c r="G188" s="117" t="str" cm="1">
        <f t="array" ref="G188">IFERROR(IF(ROWS(G$181:G188)&gt;COUNTA($F$181:$F$208),"",INDEX($F$181:$F$208,SMALL(IF($F$181:$F$208&lt;&gt;0,ROW($F$181:$F$208)-ROW($F$181)+1),ROWS(G$181:G188)))),"")</f>
        <v/>
      </c>
    </row>
    <row r="189" spans="1:8" x14ac:dyDescent="0.45">
      <c r="A189" s="2" t="str">
        <f>Traduction!C118</f>
        <v>Je joins une copie de l'organigramme</v>
      </c>
      <c r="B189" s="138"/>
      <c r="C189" s="139"/>
      <c r="D189" s="8" t="b">
        <f t="shared" si="14"/>
        <v>1</v>
      </c>
      <c r="F189" s="83">
        <f>$B$183</f>
        <v>0</v>
      </c>
      <c r="G189" s="1" t="str" cm="1">
        <f t="array" ref="G189">IFERROR(IF(ROWS(G$181:G189)&gt;COUNTA($F$181:$F$208),"",INDEX($F$181:$F$208,SMALL(IF($F$181:$F$208&lt;&gt;0,ROW($F$181:$F$208)-ROW($F$181)+1),ROWS(G$181:G189)))),"")</f>
        <v/>
      </c>
    </row>
    <row r="190" spans="1:8" x14ac:dyDescent="0.45">
      <c r="A190" s="2" t="str">
        <f>Traduction!C101</f>
        <v>Solde CRTG ($)</v>
      </c>
      <c r="B190" s="158" t="str">
        <f>IF(OR(B188="Oui",B188="Yes"),Traduction!C327,"")</f>
        <v/>
      </c>
      <c r="C190" s="154"/>
      <c r="D190" s="8" t="b">
        <f t="shared" si="14"/>
        <v>1</v>
      </c>
      <c r="F190" s="83">
        <f>$B$195</f>
        <v>0</v>
      </c>
      <c r="G190" s="1" t="str" cm="1">
        <f t="array" ref="G190">IFERROR(IF(ROWS(G$181:G190)&gt;COUNTA($F$181:$F$208),"",INDEX($F$181:$F$208,SMALL(IF($F$181:$F$208&lt;&gt;0,ROW($F$181:$F$208)-ROW($F$181)+1),ROWS(G$181:G190)))),"")</f>
        <v/>
      </c>
    </row>
    <row r="191" spans="1:8" x14ac:dyDescent="0.45">
      <c r="A191" s="2" t="str">
        <f>Traduction!C119</f>
        <v>Revenu d'entreprise net des dépenses annuelles ($)</v>
      </c>
      <c r="B191" s="158" t="str">
        <f>IF(OR(B187="Oui",B187="Yes"),Traduction!C327,"")</f>
        <v/>
      </c>
      <c r="C191" s="154"/>
      <c r="D191" s="8" t="b">
        <f t="shared" si="14"/>
        <v>1</v>
      </c>
      <c r="F191" s="83">
        <f>$B$207</f>
        <v>0</v>
      </c>
      <c r="G191" s="1" t="str" cm="1">
        <f t="array" ref="G191">IFERROR(IF(ROWS(G$181:G191)&gt;COUNTA($F$181:$F$208),"",INDEX($F$181:$F$208,SMALL(IF($F$181:$F$208&lt;&gt;0,ROW($F$181:$F$208)-ROW($F$181)+1),ROWS(G$181:G191)))),"")</f>
        <v/>
      </c>
    </row>
    <row r="192" spans="1:8" x14ac:dyDescent="0.45">
      <c r="A192" s="2" t="s">
        <v>11</v>
      </c>
      <c r="B192" s="161"/>
      <c r="C192" s="152"/>
      <c r="D192" s="8" t="b">
        <f t="shared" si="14"/>
        <v>1</v>
      </c>
      <c r="F192" s="83">
        <f>$B$219</f>
        <v>0</v>
      </c>
      <c r="G192" s="1" t="str" cm="1">
        <f t="array" ref="G192">IFERROR(IF(ROWS(G$181:G192)&gt;COUNTA($F$181:$F$208),"",INDEX($F$181:$F$208,SMALL(IF($F$181:$F$208&lt;&gt;0,ROW($F$181:$F$208)-ROW($F$181)+1),ROWS(G$181:G192)))),"")</f>
        <v/>
      </c>
    </row>
    <row r="193" spans="1:8" x14ac:dyDescent="0.45">
      <c r="A193" s="2" t="str">
        <f>Traduction!C121</f>
        <v>Versement annuel pour rembourser le passif à long terme (le revenu net ci-dessus sera réduit de ce montant)</v>
      </c>
      <c r="B193" s="158" t="str">
        <f>IF(OR(B187="Oui",B187="Yes"),Traduction!C327,"")</f>
        <v/>
      </c>
      <c r="C193" s="154"/>
      <c r="D193" s="8" t="b">
        <f t="shared" si="14"/>
        <v>1</v>
      </c>
      <c r="F193" s="83">
        <f>$B$231</f>
        <v>0</v>
      </c>
      <c r="G193" s="1" t="str" cm="1">
        <f t="array" ref="G193">IFERROR(IF(ROWS(G$181:G193)&gt;COUNTA($F$181:$F$208),"",INDEX($F$181:$F$208,SMALL(IF($F$181:$F$208&lt;&gt;0,ROW($F$181:$F$208)-ROW($F$181)+1),ROWS(G$181:G193)))),"")</f>
        <v/>
      </c>
    </row>
    <row r="194" spans="1:8" ht="15.75" hidden="1" x14ac:dyDescent="0.5">
      <c r="A194" s="157" t="str">
        <f>Traduction!C106</f>
        <v>Société opérante 2</v>
      </c>
      <c r="B194" s="157"/>
      <c r="C194" s="157"/>
      <c r="F194" s="88">
        <f>$B$243</f>
        <v>0</v>
      </c>
      <c r="G194" s="1" t="str" cm="1">
        <f t="array" ref="G194">IFERROR(IF(ROWS(G$181:G194)&gt;COUNTA($F$181:$F$208),"",INDEX($F$181:$F$208,SMALL(IF($F$181:$F$208&lt;&gt;0,ROW($F$181:$F$208)-ROW($F$181)+1),ROWS(G$181:G194)))),"")</f>
        <v/>
      </c>
    </row>
    <row r="195" spans="1:8" ht="14.65" hidden="1" thickBot="1" x14ac:dyDescent="0.5">
      <c r="A195" s="2" t="str">
        <f>Traduction!C91</f>
        <v>Nom de la société</v>
      </c>
      <c r="B195" s="138"/>
      <c r="C195" s="139"/>
      <c r="D195" s="8" t="b">
        <f t="shared" ref="D195:D205" si="15">IF(NbOpérantes&gt;=2,IF(B195="",TRUE))</f>
        <v>0</v>
      </c>
      <c r="F195" s="1">
        <f>$B$255</f>
        <v>0</v>
      </c>
      <c r="G195" s="1" t="str" cm="1">
        <f t="array" ref="G195">IFERROR(IF(ROWS(G$181:G195)&gt;COUNTA($F$181:$F$208),"",INDEX($F$181:$F$208,SMALL(IF($F$181:$F$208&lt;&gt;0,ROW($F$181:$F$208)-ROW($F$181)+1),ROWS(G$181:G195)))),"")</f>
        <v/>
      </c>
    </row>
    <row r="196" spans="1:8" ht="15" hidden="1" thickTop="1" thickBot="1" x14ac:dyDescent="0.5">
      <c r="A196" s="2" t="str">
        <f>Traduction!C115</f>
        <v>Salaire annuel versé au client/conjoint</v>
      </c>
      <c r="B196" s="98" t="str">
        <f>IF(OR(B24="Oui",B24="Yes")+OR(Filtres!B25="Oui",Filtres!B25="Yes"),Traduction!C327,"")</f>
        <v/>
      </c>
      <c r="C196" s="99" t="str">
        <f>IF(OR(C24="Oui",C24="Yes")+OR(Filtres!B25="Oui",Filtres!B25="Yes"),Traduction!C327,"")</f>
        <v/>
      </c>
      <c r="D196" s="8" t="b">
        <f>IF((AND((B196=""),(C196=""),NbOpérantes&gt;=2)),TRUE)</f>
        <v>0</v>
      </c>
      <c r="F196" s="1">
        <f>$B$267</f>
        <v>0</v>
      </c>
      <c r="G196" s="1" t="str" cm="1">
        <f t="array" ref="G196">IFERROR(IF(ROWS(G$181:G196)&gt;COUNTA($F$181:$F$208),"",INDEX($F$181:$F$208,SMALL(IF($F$181:$F$208&lt;&gt;0,ROW($F$181:$F$208)-ROW($F$181)+1),ROWS(G$181:G196)))),"")</f>
        <v/>
      </c>
    </row>
    <row r="197" spans="1:8" ht="15" hidden="1" customHeight="1" thickTop="1" x14ac:dyDescent="0.55000000000000004">
      <c r="A197" s="2" t="str">
        <f>Traduction!C116</f>
        <v>Nom de la personne/société qui détient les actions de cette entreprise</v>
      </c>
      <c r="B197" s="138"/>
      <c r="C197" s="139"/>
      <c r="D197" s="8" t="b">
        <f t="shared" si="15"/>
        <v>0</v>
      </c>
      <c r="F197" s="83">
        <f>$B$279</f>
        <v>0</v>
      </c>
      <c r="G197" s="1" t="str" cm="1">
        <f t="array" ref="G197">IFERROR(IF(ROWS(G$181:G197)&gt;COUNTA($F$181:$F$208),"",INDEX($F$181:$F$208,SMALL(IF($F$181:$F$208&lt;&gt;0,ROW($F$181:$F$208)-ROW($F$181)+1),ROWS(G$181:G197)))),"")</f>
        <v/>
      </c>
      <c r="H197" s="66"/>
    </row>
    <row r="198" spans="1:8" hidden="1" x14ac:dyDescent="0.45">
      <c r="A198" s="2" t="str">
        <f>Traduction!C117</f>
        <v>Pourcentage détenu par la personne/société inscrite ci-dessus (%)</v>
      </c>
      <c r="B198" s="161"/>
      <c r="C198" s="152"/>
      <c r="D198" s="8" t="b">
        <f t="shared" si="15"/>
        <v>0</v>
      </c>
      <c r="F198" s="83">
        <f>$B$291</f>
        <v>0</v>
      </c>
      <c r="G198" s="1" t="str" cm="1">
        <f t="array" ref="G198">IFERROR(IF(ROWS(G$181:G198)&gt;COUNTA($F$181:$F$208),"",INDEX($F$181:$F$208,SMALL(IF($F$181:$F$208&lt;&gt;0,ROW($F$181:$F$208)-ROW($F$181)+1),ROWS(G$181:G198)))),"")</f>
        <v/>
      </c>
    </row>
    <row r="199" spans="1:8" hidden="1" x14ac:dyDescent="0.45">
      <c r="A199" s="2" t="str">
        <f>Traduction!C93</f>
        <v>Je joins une copie des états financiers</v>
      </c>
      <c r="B199" s="161"/>
      <c r="C199" s="152"/>
      <c r="D199" s="8" t="b">
        <f t="shared" si="15"/>
        <v>0</v>
      </c>
      <c r="F199" s="1">
        <f>$B$347</f>
        <v>0</v>
      </c>
      <c r="G199" s="1" t="str" cm="1">
        <f t="array" ref="G199">IFERROR(IF(ROWS(G$181:G199)&gt;COUNTA($F$181:$F$208),"",INDEX($F$181:$F$208,SMALL(IF($F$181:$F$208&lt;&gt;0,ROW($F$181:$F$208)-ROW($F$181)+1),ROWS(G$181:G199)))),"")</f>
        <v/>
      </c>
    </row>
    <row r="200" spans="1:8" hidden="1" x14ac:dyDescent="0.45">
      <c r="A200" s="2" t="str">
        <f>Traduction!C94</f>
        <v>Je joins une copie de la déclaration de revenus fédérale T2</v>
      </c>
      <c r="B200" s="161"/>
      <c r="C200" s="152"/>
      <c r="D200" s="8" t="b">
        <f t="shared" si="15"/>
        <v>0</v>
      </c>
      <c r="F200" s="1">
        <f>$B$350</f>
        <v>0</v>
      </c>
      <c r="G200" s="1" t="str" cm="1">
        <f t="array" ref="G200">IFERROR(IF(ROWS(G$181:G200)&gt;COUNTA($F$181:$F$208),"",INDEX($F$181:$F$208,SMALL(IF($F$181:$F$208&lt;&gt;0,ROW($F$181:$F$208)-ROW($F$181)+1),ROWS(G$181:G200)))),"")</f>
        <v/>
      </c>
    </row>
    <row r="201" spans="1:8" hidden="1" x14ac:dyDescent="0.45">
      <c r="A201" s="2" t="str">
        <f>Traduction!C118</f>
        <v>Je joins une copie de l'organigramme</v>
      </c>
      <c r="B201" s="161"/>
      <c r="C201" s="152"/>
      <c r="D201" s="8" t="b">
        <f t="shared" si="15"/>
        <v>0</v>
      </c>
      <c r="F201" s="1">
        <f>$B$353</f>
        <v>0</v>
      </c>
      <c r="G201" s="1" t="str" cm="1">
        <f t="array" ref="G201">IFERROR(IF(ROWS(G$181:G201)&gt;COUNTA($F$181:$F$208),"",INDEX($F$181:$F$208,SMALL(IF($F$181:$F$208&lt;&gt;0,ROW($F$181:$F$208)-ROW($F$181)+1),ROWS(G$181:G201)))),"")</f>
        <v/>
      </c>
    </row>
    <row r="202" spans="1:8" hidden="1" x14ac:dyDescent="0.45">
      <c r="A202" s="2" t="str">
        <f>Traduction!C101</f>
        <v>Solde CRTG ($)</v>
      </c>
      <c r="B202" s="158" t="str">
        <f>IF(OR(B200="Oui",B200="Yes"),Traduction!C339,"")</f>
        <v/>
      </c>
      <c r="C202" s="154"/>
      <c r="D202" s="8" t="b">
        <f t="shared" si="15"/>
        <v>0</v>
      </c>
      <c r="F202" s="1">
        <f>$B$356</f>
        <v>0</v>
      </c>
      <c r="G202" s="1" t="str" cm="1">
        <f t="array" ref="G202">IFERROR(IF(ROWS(G$181:G202)&gt;COUNTA($F$181:$F$208),"",INDEX($F$181:$F$208,SMALL(IF($F$181:$F$208&lt;&gt;0,ROW($F$181:$F$208)-ROW($F$181)+1),ROWS(G$181:G202)))),"")</f>
        <v/>
      </c>
    </row>
    <row r="203" spans="1:8" ht="15" hidden="1" customHeight="1" x14ac:dyDescent="0.55000000000000004">
      <c r="A203" s="2" t="str">
        <f>Traduction!C119</f>
        <v>Revenu d'entreprise net des dépenses annuelles ($)</v>
      </c>
      <c r="B203" s="158" t="str">
        <f>IF(OR(B199="Oui",B199="Yes"),Traduction!C339,"")</f>
        <v/>
      </c>
      <c r="C203" s="154"/>
      <c r="D203" s="8" t="b">
        <f t="shared" si="15"/>
        <v>0</v>
      </c>
      <c r="F203" s="1">
        <f>$B$359</f>
        <v>0</v>
      </c>
      <c r="G203" s="1" t="str" cm="1">
        <f t="array" ref="G203">IFERROR(IF(ROWS(G$181:G203)&gt;COUNTA($F$181:$F$208),"",INDEX($F$181:$F$208,SMALL(IF($F$181:$F$208&lt;&gt;0,ROW($F$181:$F$208)-ROW($F$181)+1),ROWS(G$181:G203)))),"")</f>
        <v/>
      </c>
      <c r="H203" s="66"/>
    </row>
    <row r="204" spans="1:8" hidden="1" x14ac:dyDescent="0.45">
      <c r="A204" s="2" t="s">
        <v>12</v>
      </c>
      <c r="B204" s="161"/>
      <c r="C204" s="152"/>
      <c r="D204" s="8" t="b">
        <f t="shared" si="15"/>
        <v>0</v>
      </c>
      <c r="F204" s="1">
        <f>$B$362</f>
        <v>0</v>
      </c>
      <c r="G204" s="1" t="str" cm="1">
        <f t="array" ref="G204">IFERROR(IF(ROWS(G$181:G204)&gt;COUNTA($F$181:$F$208),"",INDEX($F$181:$F$208,SMALL(IF($F$181:$F$208&lt;&gt;0,ROW($F$181:$F$208)-ROW($F$181)+1),ROWS(G$181:G204)))),"")</f>
        <v/>
      </c>
    </row>
    <row r="205" spans="1:8" ht="18" hidden="1" x14ac:dyDescent="0.55000000000000004">
      <c r="A205" s="2" t="str">
        <f>Traduction!C121</f>
        <v>Versement annuel pour rembourser le passif à long terme (le revenu net ci-dessus sera réduit de ce montant)</v>
      </c>
      <c r="B205" s="158" t="str">
        <f>IF(OR(B199="Oui",B199="Yes"),Traduction!C339,"")</f>
        <v/>
      </c>
      <c r="C205" s="154"/>
      <c r="D205" s="8" t="b">
        <f t="shared" si="15"/>
        <v>0</v>
      </c>
      <c r="F205" s="1">
        <f>$B$365</f>
        <v>0</v>
      </c>
      <c r="G205" s="1" t="str" cm="1">
        <f t="array" ref="G205">IFERROR(IF(ROWS(G$181:G205)&gt;COUNTA($F$181:$F$208),"",INDEX($F$181:$F$208,SMALL(IF($F$181:$F$208&lt;&gt;0,ROW($F$181:$F$208)-ROW($F$181)+1),ROWS(G$181:G205)))),"")</f>
        <v/>
      </c>
      <c r="H205" s="66"/>
    </row>
    <row r="206" spans="1:8" hidden="1" x14ac:dyDescent="0.45">
      <c r="A206" s="145" t="str">
        <f>Traduction!C107</f>
        <v>Société opérante 3</v>
      </c>
      <c r="B206" s="146"/>
      <c r="C206" s="147"/>
      <c r="F206" s="1">
        <f>$B$368</f>
        <v>0</v>
      </c>
      <c r="G206" s="1" t="str" cm="1">
        <f t="array" ref="G206">IFERROR(IF(ROWS(G$181:G206)&gt;COUNTA($F$181:$F$208),"",INDEX($F$181:$F$208,SMALL(IF($F$181:$F$208&lt;&gt;0,ROW($F$181:$F$208)-ROW($F$181)+1),ROWS(G$181:G206)))),"")</f>
        <v/>
      </c>
    </row>
    <row r="207" spans="1:8" ht="14.65" hidden="1" thickBot="1" x14ac:dyDescent="0.5">
      <c r="A207" s="2" t="str">
        <f>Traduction!C91</f>
        <v>Nom de la société</v>
      </c>
      <c r="B207" s="138"/>
      <c r="C207" s="139"/>
      <c r="D207" s="8" t="b">
        <f t="shared" ref="D207:D217" si="16">IF(NbOpérantes&gt;=3,IF(B207="",TRUE))</f>
        <v>0</v>
      </c>
      <c r="F207" s="1">
        <f>$B$371</f>
        <v>0</v>
      </c>
      <c r="G207" s="1" t="str" cm="1">
        <f t="array" ref="G207">IFERROR(IF(ROWS(G$181:G207)&gt;COUNTA($F$181:$F$208),"",INDEX($F$181:$F$208,SMALL(IF($F$181:$F$208&lt;&gt;0,ROW($F$181:$F$208)-ROW($F$181)+1),ROWS(G$181:G207)))),"")</f>
        <v/>
      </c>
    </row>
    <row r="208" spans="1:8" ht="15" hidden="1" thickTop="1" thickBot="1" x14ac:dyDescent="0.5">
      <c r="A208" s="2" t="str">
        <f>Traduction!C115</f>
        <v>Salaire annuel versé au client/conjoint</v>
      </c>
      <c r="B208" s="98" t="str">
        <f>IF(OR(B24="Oui",B24="Yes")+OR(Filtres!B25="Oui",Filtres!B25="Yes"),Traduction!C327,"")</f>
        <v/>
      </c>
      <c r="C208" s="99" t="str">
        <f>IF(OR(C24="Oui",C24="Yes")+OR(Filtres!B25="Oui",Filtres!B25="Yes"),Traduction!C327,"")</f>
        <v/>
      </c>
      <c r="D208" s="8" t="b">
        <f>IF((AND((B208=""),(C208=""),NbOpérantes&gt;=3)),TRUE)</f>
        <v>0</v>
      </c>
      <c r="F208" s="1">
        <f>$B$374</f>
        <v>0</v>
      </c>
      <c r="G208" s="1" t="str" cm="1">
        <f t="array" ref="G208">IFERROR(IF(ROWS(G$181:G208)&gt;COUNTA($F$181:$F$208),"",INDEX($F$181:$F$208,SMALL(IF($F$181:$F$208&lt;&gt;0,ROW($F$181:$F$208)-ROW($F$181)+1),ROWS(G$181:G208)))),"")</f>
        <v/>
      </c>
    </row>
    <row r="209" spans="1:8" ht="14.65" hidden="1" thickTop="1" x14ac:dyDescent="0.45">
      <c r="A209" s="2" t="str">
        <f>Traduction!C116</f>
        <v>Nom de la personne/société qui détient les actions de cette entreprise</v>
      </c>
      <c r="B209" s="138"/>
      <c r="C209" s="139"/>
      <c r="D209" s="8" t="b">
        <f t="shared" si="16"/>
        <v>0</v>
      </c>
      <c r="F209" s="85"/>
    </row>
    <row r="210" spans="1:8" hidden="1" x14ac:dyDescent="0.45">
      <c r="A210" s="2" t="str">
        <f>Traduction!C117</f>
        <v>Pourcentage détenu par la personne/société inscrite ci-dessus (%)</v>
      </c>
      <c r="B210" s="161"/>
      <c r="C210" s="152"/>
      <c r="D210" s="8" t="b">
        <f t="shared" si="16"/>
        <v>0</v>
      </c>
      <c r="F210" s="85"/>
    </row>
    <row r="211" spans="1:8" ht="15.6" hidden="1" customHeight="1" x14ac:dyDescent="0.55000000000000004">
      <c r="A211" s="2" t="str">
        <f>Traduction!C93</f>
        <v>Je joins une copie des états financiers</v>
      </c>
      <c r="B211" s="161"/>
      <c r="C211" s="152"/>
      <c r="D211" s="8" t="b">
        <f t="shared" si="16"/>
        <v>0</v>
      </c>
      <c r="F211" s="84"/>
      <c r="H211" s="66"/>
    </row>
    <row r="212" spans="1:8" hidden="1" x14ac:dyDescent="0.45">
      <c r="A212" s="2" t="str">
        <f>Traduction!C94</f>
        <v>Je joins une copie de la déclaration de revenus fédérale T2</v>
      </c>
      <c r="B212" s="161"/>
      <c r="C212" s="152"/>
      <c r="D212" s="8" t="b">
        <f t="shared" si="16"/>
        <v>0</v>
      </c>
    </row>
    <row r="213" spans="1:8" hidden="1" x14ac:dyDescent="0.45">
      <c r="A213" s="2" t="str">
        <f>Traduction!C118</f>
        <v>Je joins une copie de l'organigramme</v>
      </c>
      <c r="B213" s="161"/>
      <c r="C213" s="152"/>
      <c r="D213" s="8" t="b">
        <f t="shared" si="16"/>
        <v>0</v>
      </c>
    </row>
    <row r="214" spans="1:8" hidden="1" x14ac:dyDescent="0.45">
      <c r="A214" s="2" t="str">
        <f>Traduction!C101</f>
        <v>Solde CRTG ($)</v>
      </c>
      <c r="B214" s="158" t="str">
        <f>IF(OR(B212="Oui",B212="Yes"),Traduction!C327,"")</f>
        <v/>
      </c>
      <c r="C214" s="154"/>
      <c r="D214" s="8" t="b">
        <f t="shared" si="16"/>
        <v>0</v>
      </c>
      <c r="F214" s="85"/>
    </row>
    <row r="215" spans="1:8" hidden="1" x14ac:dyDescent="0.45">
      <c r="A215" s="2" t="str">
        <f>Traduction!C119</f>
        <v>Revenu d'entreprise net des dépenses annuelles ($)</v>
      </c>
      <c r="B215" s="158" t="str">
        <f>IF(OR(B211="Oui",B211="Yes"),Traduction!C327,"")</f>
        <v/>
      </c>
      <c r="C215" s="154"/>
      <c r="D215" s="8" t="b">
        <f t="shared" si="16"/>
        <v>0</v>
      </c>
      <c r="F215" s="85"/>
    </row>
    <row r="216" spans="1:8" ht="18" hidden="1" x14ac:dyDescent="0.55000000000000004">
      <c r="A216" s="2" t="str">
        <f>Traduction!C120</f>
        <v>% des bénéfices annuels investis dans des placements (surplus après impôts dans l'entreprise)</v>
      </c>
      <c r="B216" s="161"/>
      <c r="C216" s="152"/>
      <c r="D216" s="8" t="b">
        <f t="shared" si="16"/>
        <v>0</v>
      </c>
      <c r="F216" s="81" t="s">
        <v>13</v>
      </c>
      <c r="G216" s="82" t="s">
        <v>14</v>
      </c>
      <c r="H216" s="66"/>
    </row>
    <row r="217" spans="1:8" hidden="1" x14ac:dyDescent="0.45">
      <c r="A217" s="2" t="str">
        <f>Traduction!C121</f>
        <v>Versement annuel pour rembourser le passif à long terme (le revenu net ci-dessus sera réduit de ce montant)</v>
      </c>
      <c r="B217" s="158" t="str">
        <f>IF(OR(B211="Oui",B211="Yes"),Traduction!C327,"")</f>
        <v/>
      </c>
      <c r="C217" s="154"/>
      <c r="D217" s="8" t="b">
        <f t="shared" si="16"/>
        <v>0</v>
      </c>
      <c r="F217" s="1">
        <f>$B$183</f>
        <v>0</v>
      </c>
      <c r="G217" s="1" t="str" cm="1">
        <f t="array" ref="G217">IFERROR(IF(ROWS($F$217:F217)&gt;COUNTA($F$217:$F$226),"",INDEX($F$217:$F$226,SMALL(IF($F$217:$F$226&lt;&gt;0,ROW($F$217:$F$226)-ROW($F$217)+1),ROWS($F$217:F217)))), "")</f>
        <v/>
      </c>
    </row>
    <row r="218" spans="1:8" hidden="1" x14ac:dyDescent="0.45">
      <c r="A218" s="157" t="str">
        <f>Traduction!C108</f>
        <v>Société opérante 4</v>
      </c>
      <c r="B218" s="157"/>
      <c r="C218" s="157"/>
      <c r="F218" s="1">
        <f>$B$195</f>
        <v>0</v>
      </c>
      <c r="G218" s="1" t="str" cm="1">
        <f t="array" ref="G218">IFERROR(IF(ROWS($F$217:F218)&gt;COUNTA($F$217:$F$226),"",INDEX($F$217:$F$226,SMALL(IF($F$217:$F$226&lt;&gt;0,ROW($F$217:$F$226)-ROW($F$217)+1),ROWS($F$217:F218)))), "")</f>
        <v/>
      </c>
    </row>
    <row r="219" spans="1:8" ht="14.65" hidden="1" thickBot="1" x14ac:dyDescent="0.5">
      <c r="A219" s="2" t="str">
        <f>Traduction!C91</f>
        <v>Nom de la société</v>
      </c>
      <c r="B219" s="138"/>
      <c r="C219" s="139"/>
      <c r="D219" s="8" t="b">
        <f t="shared" ref="D219:D229" si="17">IF(NbOpérantes&gt;=4,IF(B219="",TRUE))</f>
        <v>0</v>
      </c>
      <c r="F219" s="83">
        <f>$B$207</f>
        <v>0</v>
      </c>
      <c r="G219" s="1" t="str" cm="1">
        <f t="array" ref="G219">IFERROR(IF(ROWS($F$217:F219)&gt;COUNTA($F$217:$F$226),"",INDEX($F$217:$F$226,SMALL(IF($F$217:$F$226&lt;&gt;0,ROW($F$217:$F$226)-ROW($F$217)+1),ROWS($F$217:F219)))), "")</f>
        <v/>
      </c>
    </row>
    <row r="220" spans="1:8" ht="15" hidden="1" thickTop="1" thickBot="1" x14ac:dyDescent="0.5">
      <c r="A220" s="2" t="str">
        <f>Traduction!C115</f>
        <v>Salaire annuel versé au client/conjoint</v>
      </c>
      <c r="B220" s="98" t="str">
        <f>IF(OR(B24="Oui",B24="Yes")+OR(Filtres!B25="Oui",Filtres!B25="Yes"),Traduction!C327,"")</f>
        <v/>
      </c>
      <c r="C220" s="99" t="str">
        <f>IF(OR(C24="Oui",C24="Yes")+OR(Filtres!B25="Oui",Filtres!B25="Yes"),Traduction!C327,"")</f>
        <v/>
      </c>
      <c r="D220" s="8" t="b">
        <f>IF((AND((B220=""),(C220=""),NbOpérantes&gt;=4)),TRUE)</f>
        <v>0</v>
      </c>
      <c r="F220" s="83">
        <f>$B$219</f>
        <v>0</v>
      </c>
      <c r="G220" s="1" t="str" cm="1">
        <f t="array" ref="G220">IFERROR(IF(ROWS($F$217:F220)&gt;COUNTA($F$217:$F$226),"",INDEX($F$217:$F$226,SMALL(IF($F$217:$F$226&lt;&gt;0,ROW($F$217:$F$226)-ROW($F$217)+1),ROWS($F$217:F220)))), "")</f>
        <v/>
      </c>
    </row>
    <row r="221" spans="1:8" ht="14.65" hidden="1" thickTop="1" x14ac:dyDescent="0.45">
      <c r="A221" s="2" t="str">
        <f>Traduction!C116</f>
        <v>Nom de la personne/société qui détient les actions de cette entreprise</v>
      </c>
      <c r="B221" s="138"/>
      <c r="C221" s="139"/>
      <c r="D221" s="8" t="b">
        <f t="shared" si="17"/>
        <v>0</v>
      </c>
      <c r="F221" s="83">
        <f>$B$231</f>
        <v>0</v>
      </c>
      <c r="G221" s="1" t="str" cm="1">
        <f t="array" ref="G221">IFERROR(IF(ROWS($F$217:F221)&gt;COUNTA($F$217:$F$226),"",INDEX($F$217:$F$226,SMALL(IF($F$217:$F$226&lt;&gt;0,ROW($F$217:$F$226)-ROW($F$217)+1),ROWS($F$217:F221)))), "")</f>
        <v/>
      </c>
    </row>
    <row r="222" spans="1:8" ht="15.75" hidden="1" x14ac:dyDescent="0.5">
      <c r="A222" s="2" t="str">
        <f>Traduction!C117</f>
        <v>Pourcentage détenu par la personne/société inscrite ci-dessus (%)</v>
      </c>
      <c r="B222" s="161"/>
      <c r="C222" s="152"/>
      <c r="D222" s="8" t="b">
        <f t="shared" si="17"/>
        <v>0</v>
      </c>
      <c r="F222" s="88">
        <f>$B$243</f>
        <v>0</v>
      </c>
      <c r="G222" s="1" t="str" cm="1">
        <f t="array" ref="G222">IFERROR(IF(ROWS($F$217:F222)&gt;COUNTA($F$217:$F$226),"",INDEX($F$217:$F$226,SMALL(IF($F$217:$F$226&lt;&gt;0,ROW($F$217:$F$226)-ROW($F$217)+1),ROWS($F$217:F222)))), "")</f>
        <v/>
      </c>
    </row>
    <row r="223" spans="1:8" hidden="1" x14ac:dyDescent="0.45">
      <c r="A223" s="2" t="str">
        <f>Traduction!C93</f>
        <v>Je joins une copie des états financiers</v>
      </c>
      <c r="B223" s="161"/>
      <c r="C223" s="152"/>
      <c r="D223" s="8" t="b">
        <f t="shared" si="17"/>
        <v>0</v>
      </c>
      <c r="F223" s="1">
        <f>$B$255</f>
        <v>0</v>
      </c>
      <c r="G223" s="1" t="str" cm="1">
        <f t="array" ref="G223">IFERROR(IF(ROWS($F$217:F223)&gt;COUNTA($F$217:$F$226),"",INDEX($F$217:$F$226,SMALL(IF($F$217:$F$226&lt;&gt;0,ROW($F$217:$F$226)-ROW($F$217)+1),ROWS($F$217:F223)))), "")</f>
        <v/>
      </c>
    </row>
    <row r="224" spans="1:8" hidden="1" x14ac:dyDescent="0.45">
      <c r="A224" s="2" t="str">
        <f>Traduction!C94</f>
        <v>Je joins une copie de la déclaration de revenus fédérale T2</v>
      </c>
      <c r="B224" s="161"/>
      <c r="C224" s="152"/>
      <c r="D224" s="8" t="b">
        <f t="shared" si="17"/>
        <v>0</v>
      </c>
      <c r="F224" s="1">
        <f>$B$267</f>
        <v>0</v>
      </c>
      <c r="G224" s="1" t="str" cm="1">
        <f t="array" ref="G224">IFERROR(IF(ROWS($F$217:F224)&gt;COUNTA($F$217:$F$226),"",INDEX($F$217:$F$226,SMALL(IF($F$217:$F$226&lt;&gt;0,ROW($F$217:$F$226)-ROW($F$217)+1),ROWS($F$217:F224)))), "")</f>
        <v/>
      </c>
    </row>
    <row r="225" spans="1:7" hidden="1" x14ac:dyDescent="0.45">
      <c r="A225" s="2" t="str">
        <f>Traduction!C118</f>
        <v>Je joins une copie de l'organigramme</v>
      </c>
      <c r="B225" s="161"/>
      <c r="C225" s="152"/>
      <c r="D225" s="8" t="b">
        <f t="shared" si="17"/>
        <v>0</v>
      </c>
      <c r="F225" s="83">
        <f>$B$279</f>
        <v>0</v>
      </c>
      <c r="G225" s="1" t="str" cm="1">
        <f t="array" ref="G225">IFERROR(IF(ROWS($F$217:F225)&gt;COUNTA($F$217:$F$226),"",INDEX($F$217:$F$226,SMALL(IF($F$217:$F$226&lt;&gt;0,ROW($F$217:$F$226)-ROW($F$217)+1),ROWS($F$217:F225)))), "")</f>
        <v/>
      </c>
    </row>
    <row r="226" spans="1:7" hidden="1" x14ac:dyDescent="0.45">
      <c r="A226" s="2" t="str">
        <f>Traduction!C101</f>
        <v>Solde CRTG ($)</v>
      </c>
      <c r="B226" s="158" t="str">
        <f>IF(OR(B224="Oui",B224="Yes"),Traduction!C327,"")</f>
        <v/>
      </c>
      <c r="C226" s="154"/>
      <c r="D226" s="8" t="b">
        <f t="shared" si="17"/>
        <v>0</v>
      </c>
      <c r="F226" s="116">
        <f>$B$291</f>
        <v>0</v>
      </c>
      <c r="G226" s="89" t="str" cm="1">
        <f t="array" ref="G226">IFERROR(IF(ROWS($F$217:F226)&gt;COUNTA($F$217:$F$226),"",INDEX($F$217:$F$226,SMALL(IF($F$217:$F$226&lt;&gt;0,ROW($F$217:$F$226)-ROW($F$217)+1),ROWS($F$217:F226)))), "")</f>
        <v/>
      </c>
    </row>
    <row r="227" spans="1:7" ht="18" hidden="1" x14ac:dyDescent="0.55000000000000004">
      <c r="A227" s="2" t="str">
        <f>Traduction!C119</f>
        <v>Revenu d'entreprise net des dépenses annuelles ($)</v>
      </c>
      <c r="B227" s="158" t="str">
        <f>IF(OR(B223="Oui",B223="Yes"),Traduction!C327,"")</f>
        <v/>
      </c>
      <c r="C227" s="154"/>
      <c r="D227" s="8" t="b">
        <f t="shared" si="17"/>
        <v>0</v>
      </c>
      <c r="F227" s="84"/>
      <c r="G227" s="66"/>
    </row>
    <row r="228" spans="1:7" hidden="1" x14ac:dyDescent="0.45">
      <c r="A228" s="2" t="str">
        <f>Traduction!C120</f>
        <v>% des bénéfices annuels investis dans des placements (surplus après impôts dans l'entreprise)</v>
      </c>
      <c r="B228" s="161"/>
      <c r="C228" s="152"/>
      <c r="D228" s="8" t="b">
        <f t="shared" si="17"/>
        <v>0</v>
      </c>
    </row>
    <row r="229" spans="1:7" hidden="1" x14ac:dyDescent="0.45">
      <c r="A229" s="2" t="str">
        <f>Traduction!C121</f>
        <v>Versement annuel pour rembourser le passif à long terme (le revenu net ci-dessus sera réduit de ce montant)</v>
      </c>
      <c r="B229" s="158" t="str">
        <f>IF(OR(B223="Oui",B223="Yes"),Traduction!C327,"")</f>
        <v/>
      </c>
      <c r="C229" s="154"/>
      <c r="D229" s="8" t="b">
        <f t="shared" si="17"/>
        <v>0</v>
      </c>
    </row>
    <row r="230" spans="1:7" hidden="1" x14ac:dyDescent="0.45">
      <c r="A230" s="145" t="str">
        <f>Traduction!C109</f>
        <v>Société opérante 5</v>
      </c>
      <c r="B230" s="146"/>
      <c r="C230" s="147"/>
      <c r="F230" s="85"/>
    </row>
    <row r="231" spans="1:7" ht="14.65" hidden="1" thickBot="1" x14ac:dyDescent="0.5">
      <c r="A231" s="2" t="str">
        <f>Traduction!C91</f>
        <v>Nom de la société</v>
      </c>
      <c r="B231" s="138"/>
      <c r="C231" s="139"/>
      <c r="D231" s="8" t="b">
        <f>IF(NbOpérantes&gt;=5,IF(B231="",TRUE))</f>
        <v>0</v>
      </c>
      <c r="F231" s="85"/>
    </row>
    <row r="232" spans="1:7" ht="15" hidden="1" thickTop="1" thickBot="1" x14ac:dyDescent="0.5">
      <c r="A232" s="2" t="str">
        <f>Traduction!C115</f>
        <v>Salaire annuel versé au client/conjoint</v>
      </c>
      <c r="B232" s="98" t="str">
        <f>IF(OR(B24="Oui",B24="Yes")+OR(Filtres!B25="Oui",Filtres!B25="Yes"),Traduction!C327,"")</f>
        <v/>
      </c>
      <c r="C232" s="99" t="str">
        <f>IF(OR(C24="Oui",C24="Yes")+OR(Filtres!B25="Oui",Filtres!B25="Yes"),Traduction!C327,"")</f>
        <v/>
      </c>
      <c r="D232" s="8" t="b">
        <f>IF((AND((B232=""),(C232=""),NbOpérantes&gt;=5)),TRUE)</f>
        <v>0</v>
      </c>
      <c r="F232" s="85"/>
    </row>
    <row r="233" spans="1:7" ht="14.65" hidden="1" thickTop="1" x14ac:dyDescent="0.45">
      <c r="A233" s="2" t="str">
        <f>Traduction!C116</f>
        <v>Nom de la personne/société qui détient les actions de cette entreprise</v>
      </c>
      <c r="B233" s="138"/>
      <c r="C233" s="139"/>
      <c r="D233" s="8" t="b">
        <f t="shared" ref="D233:D241" si="18">IF(NbOpérantes&gt;=5,IF(B233="",TRUE))</f>
        <v>0</v>
      </c>
      <c r="F233" s="85"/>
    </row>
    <row r="234" spans="1:7" hidden="1" x14ac:dyDescent="0.45">
      <c r="A234" s="2" t="str">
        <f>Traduction!C117</f>
        <v>Pourcentage détenu par la personne/société inscrite ci-dessus (%)</v>
      </c>
      <c r="B234" s="161"/>
      <c r="C234" s="152"/>
      <c r="D234" s="8" t="b">
        <f t="shared" si="18"/>
        <v>0</v>
      </c>
      <c r="F234" s="85"/>
    </row>
    <row r="235" spans="1:7" hidden="1" x14ac:dyDescent="0.45">
      <c r="A235" s="2" t="str">
        <f>Traduction!C93</f>
        <v>Je joins une copie des états financiers</v>
      </c>
      <c r="B235" s="161"/>
      <c r="C235" s="152"/>
      <c r="D235" s="8" t="b">
        <f t="shared" si="18"/>
        <v>0</v>
      </c>
      <c r="F235" s="85"/>
    </row>
    <row r="236" spans="1:7" hidden="1" x14ac:dyDescent="0.45">
      <c r="A236" s="2" t="str">
        <f>Traduction!C94</f>
        <v>Je joins une copie de la déclaration de revenus fédérale T2</v>
      </c>
      <c r="B236" s="161"/>
      <c r="C236" s="152"/>
      <c r="D236" s="8" t="b">
        <f t="shared" si="18"/>
        <v>0</v>
      </c>
      <c r="F236" s="85"/>
    </row>
    <row r="237" spans="1:7" ht="14.65" hidden="1" customHeight="1" x14ac:dyDescent="0.45">
      <c r="A237" s="2" t="str">
        <f>Traduction!C118</f>
        <v>Je joins une copie de l'organigramme</v>
      </c>
      <c r="B237" s="161"/>
      <c r="C237" s="152"/>
      <c r="D237" s="8" t="b">
        <f t="shared" si="18"/>
        <v>0</v>
      </c>
      <c r="F237" s="85"/>
    </row>
    <row r="238" spans="1:7" ht="14.65" hidden="1" customHeight="1" x14ac:dyDescent="0.5">
      <c r="A238" s="2" t="str">
        <f>Traduction!C101</f>
        <v>Solde CRTG ($)</v>
      </c>
      <c r="B238" s="158" t="str">
        <f>IF(OR(B236="Oui",B236="Yes"),Traduction!C327,"")</f>
        <v/>
      </c>
      <c r="C238" s="154"/>
      <c r="D238" s="8" t="b">
        <f t="shared" si="18"/>
        <v>0</v>
      </c>
      <c r="F238" s="84"/>
    </row>
    <row r="239" spans="1:7" hidden="1" x14ac:dyDescent="0.45">
      <c r="A239" s="2" t="str">
        <f>Traduction!C119</f>
        <v>Revenu d'entreprise net des dépenses annuelles ($)</v>
      </c>
      <c r="B239" s="184" t="str">
        <f>IF(OR(B235="Oui",B235="Yes"),Traduction!C327,"")</f>
        <v/>
      </c>
      <c r="C239" s="156"/>
      <c r="D239" s="8" t="b">
        <f t="shared" si="18"/>
        <v>0</v>
      </c>
    </row>
    <row r="240" spans="1:7" hidden="1" x14ac:dyDescent="0.45">
      <c r="A240" s="2" t="str">
        <f>Traduction!C120</f>
        <v>% des bénéfices annuels investis dans des placements (surplus après impôts dans l'entreprise)</v>
      </c>
      <c r="B240" s="161"/>
      <c r="C240" s="152"/>
      <c r="D240" s="8" t="b">
        <f t="shared" si="18"/>
        <v>0</v>
      </c>
    </row>
    <row r="241" spans="1:7" hidden="1" x14ac:dyDescent="0.45">
      <c r="A241" s="2" t="str">
        <f>Traduction!C121</f>
        <v>Versement annuel pour rembourser le passif à long terme (le revenu net ci-dessus sera réduit de ce montant)</v>
      </c>
      <c r="B241" s="158" t="str">
        <f>IF(OR(B235="Oui",B235="Yes"),Traduction!C327,"")</f>
        <v/>
      </c>
      <c r="C241" s="154"/>
      <c r="D241" s="8" t="b">
        <f t="shared" si="18"/>
        <v>0</v>
      </c>
      <c r="F241" s="85"/>
    </row>
    <row r="242" spans="1:7" hidden="1" x14ac:dyDescent="0.45">
      <c r="A242" s="145" t="str">
        <f>Traduction!C110</f>
        <v>Société opérante 6</v>
      </c>
      <c r="B242" s="146"/>
      <c r="C242" s="147"/>
      <c r="D242" s="8"/>
      <c r="F242" s="85"/>
    </row>
    <row r="243" spans="1:7" ht="14.65" hidden="1" thickBot="1" x14ac:dyDescent="0.5">
      <c r="A243" s="2" t="str">
        <f>Traduction!C91</f>
        <v>Nom de la société</v>
      </c>
      <c r="B243" s="150"/>
      <c r="C243" s="139"/>
      <c r="D243" s="8" t="b">
        <f>IF(NbOpérantes&gt;=6,IF(B243="",TRUE))</f>
        <v>0</v>
      </c>
    </row>
    <row r="244" spans="1:7" ht="15" hidden="1" thickTop="1" thickBot="1" x14ac:dyDescent="0.5">
      <c r="A244" s="2" t="str">
        <f>Traduction!C115</f>
        <v>Salaire annuel versé au client/conjoint</v>
      </c>
      <c r="B244" s="100" t="str">
        <f>IF(OR(B37="Oui",B37="Yes")+OR(Filtres!B37="Oui",Filtres!B37="Yes"),Traduction!C339,"")</f>
        <v/>
      </c>
      <c r="C244" s="99" t="str">
        <f>IF(OR(C37="Oui",C37="Yes")+OR(Filtres!B37="Oui",Filtres!B37="Yes"),Traduction!C339,"")</f>
        <v/>
      </c>
      <c r="D244" s="8" t="b">
        <f>IF((AND((B244=""),(C244=""),NbOpérantes&gt;=6)),TRUE)</f>
        <v>0</v>
      </c>
    </row>
    <row r="245" spans="1:7" ht="14.65" hidden="1" thickTop="1" x14ac:dyDescent="0.45">
      <c r="A245" s="2" t="str">
        <f>Traduction!C116</f>
        <v>Nom de la personne/société qui détient les actions de cette entreprise</v>
      </c>
      <c r="B245" s="150"/>
      <c r="C245" s="139"/>
      <c r="D245" s="8" t="b">
        <f t="shared" ref="D245:D253" si="19">IF(NbOpérantes&gt;=6,IF(B245="",TRUE))</f>
        <v>0</v>
      </c>
    </row>
    <row r="246" spans="1:7" hidden="1" x14ac:dyDescent="0.45">
      <c r="A246" s="2" t="str">
        <f>Traduction!C117</f>
        <v>Pourcentage détenu par la personne/société inscrite ci-dessus (%)</v>
      </c>
      <c r="B246" s="151"/>
      <c r="C246" s="152"/>
      <c r="D246" s="8" t="b">
        <f t="shared" si="19"/>
        <v>0</v>
      </c>
    </row>
    <row r="247" spans="1:7" hidden="1" x14ac:dyDescent="0.45">
      <c r="A247" s="2" t="str">
        <f>Traduction!C93</f>
        <v>Je joins une copie des états financiers</v>
      </c>
      <c r="B247" s="151"/>
      <c r="C247" s="152"/>
      <c r="D247" s="8" t="b">
        <f t="shared" si="19"/>
        <v>0</v>
      </c>
    </row>
    <row r="248" spans="1:7" hidden="1" x14ac:dyDescent="0.45">
      <c r="A248" s="2" t="str">
        <f>Traduction!C94</f>
        <v>Je joins une copie de la déclaration de revenus fédérale T2</v>
      </c>
      <c r="B248" s="151"/>
      <c r="C248" s="152"/>
      <c r="D248" s="8" t="b">
        <f t="shared" si="19"/>
        <v>0</v>
      </c>
    </row>
    <row r="249" spans="1:7" hidden="1" x14ac:dyDescent="0.45">
      <c r="A249" s="2" t="str">
        <f>Traduction!C118</f>
        <v>Je joins une copie de l'organigramme</v>
      </c>
      <c r="B249" s="151"/>
      <c r="C249" s="152"/>
      <c r="D249" s="8" t="b">
        <f t="shared" si="19"/>
        <v>0</v>
      </c>
    </row>
    <row r="250" spans="1:7" hidden="1" x14ac:dyDescent="0.45">
      <c r="A250" s="2" t="str">
        <f>Traduction!C101</f>
        <v>Solde CRTG ($)</v>
      </c>
      <c r="B250" s="153" t="str">
        <f>IF(OR(B248="Oui",B248="Yes"),Traduction!C339,"")</f>
        <v/>
      </c>
      <c r="C250" s="154"/>
      <c r="D250" s="8" t="b">
        <f t="shared" si="19"/>
        <v>0</v>
      </c>
    </row>
    <row r="251" spans="1:7" hidden="1" x14ac:dyDescent="0.45">
      <c r="A251" s="2" t="str">
        <f>Traduction!C119</f>
        <v>Revenu d'entreprise net des dépenses annuelles ($)</v>
      </c>
      <c r="B251" s="155" t="str">
        <f>IF(OR(B247="Oui",B247="Yes"),Traduction!C339,"")</f>
        <v/>
      </c>
      <c r="C251" s="156"/>
      <c r="D251" s="8" t="b">
        <f t="shared" si="19"/>
        <v>0</v>
      </c>
    </row>
    <row r="252" spans="1:7" hidden="1" x14ac:dyDescent="0.45">
      <c r="A252" s="2" t="str">
        <f>Traduction!C120</f>
        <v>% des bénéfices annuels investis dans des placements (surplus après impôts dans l'entreprise)</v>
      </c>
      <c r="B252" s="151"/>
      <c r="C252" s="152"/>
      <c r="D252" s="8" t="b">
        <f t="shared" si="19"/>
        <v>0</v>
      </c>
    </row>
    <row r="253" spans="1:7" ht="18" hidden="1" x14ac:dyDescent="0.55000000000000004">
      <c r="A253" s="2" t="str">
        <f>Traduction!C121</f>
        <v>Versement annuel pour rembourser le passif à long terme (le revenu net ci-dessus sera réduit de ce montant)</v>
      </c>
      <c r="B253" s="153" t="str">
        <f>IF(OR(B247="Oui",B247="Yes"),Traduction!C339,"")</f>
        <v/>
      </c>
      <c r="C253" s="154"/>
      <c r="D253" s="8" t="b">
        <f t="shared" si="19"/>
        <v>0</v>
      </c>
      <c r="F253" s="81" t="s">
        <v>15</v>
      </c>
      <c r="G253" s="82" t="s">
        <v>16</v>
      </c>
    </row>
    <row r="254" spans="1:7" hidden="1" x14ac:dyDescent="0.45">
      <c r="A254" s="145" t="str">
        <f>Traduction!C111</f>
        <v>Société opérante 7</v>
      </c>
      <c r="B254" s="146"/>
      <c r="C254" s="147"/>
      <c r="D254" s="8"/>
      <c r="F254" s="117">
        <f>$B$111</f>
        <v>0</v>
      </c>
      <c r="G254" s="117" t="str" cm="1">
        <f t="array" ref="G254">IFERROR(IF(ROWS($F$254:F254)&gt;COUNTA($F$254:$F$278),"",INDEX($F$254:$F$278,SMALL(IF($F$254:$F$278&lt;&gt;0,ROW($F$254:$F$278)-ROW($F$254)+1),ROWS($F$254:F254)))), "")</f>
        <v/>
      </c>
    </row>
    <row r="255" spans="1:7" ht="14.65" hidden="1" thickBot="1" x14ac:dyDescent="0.5">
      <c r="A255" s="2" t="str">
        <f>Traduction!C91</f>
        <v>Nom de la société</v>
      </c>
      <c r="B255" s="196"/>
      <c r="C255" s="196"/>
      <c r="D255" s="8" t="b">
        <f>IF(NbOpérantes&gt;=7,IF(B255="",TRUE))</f>
        <v>0</v>
      </c>
      <c r="F255" s="117">
        <f>$B$125</f>
        <v>0</v>
      </c>
      <c r="G255" s="117" t="str" cm="1">
        <f t="array" ref="G255">IFERROR(IF(ROWS($F$254:F255)&gt;COUNTA($F$254:$F$278),"",INDEX($F$254:$F$278,SMALL(IF($F$254:$F$278&lt;&gt;0,ROW($F$254:$F$278)-ROW($F$254)+1),ROWS($F$254:F255)))), "")</f>
        <v/>
      </c>
    </row>
    <row r="256" spans="1:7" ht="14.65" hidden="1" thickBot="1" x14ac:dyDescent="0.5">
      <c r="A256" s="73" t="str">
        <f>Traduction!C115</f>
        <v>Salaire annuel versé au client/conjoint</v>
      </c>
      <c r="B256" s="101" t="str">
        <f>IF(OR(B50="Oui",B50="Yes")+OR(Filtres!B49="Oui",Filtres!B49="Yes"),Traduction!C351,"")</f>
        <v/>
      </c>
      <c r="C256" s="102" t="str">
        <f>IF(OR(C50="Oui",C50="Yes")+OR(Filtres!B49="Oui",Filtres!B49="Yes"),Traduction!C351,"")</f>
        <v/>
      </c>
      <c r="D256" s="8" t="b">
        <f>IF((AND((B256=""),(C256=""),NbOpérantes&gt;=7)),TRUE)</f>
        <v>0</v>
      </c>
      <c r="F256" s="118">
        <f>$B$139</f>
        <v>0</v>
      </c>
      <c r="G256" s="117" t="str" cm="1">
        <f t="array" ref="G256">IFERROR(IF(ROWS($F$254:F256)&gt;COUNTA($F$254:$F$278),"",INDEX($F$254:$F$278,SMALL(IF($F$254:$F$278&lt;&gt;0,ROW($F$254:$F$278)-ROW($F$254)+1),ROWS($F$254:F256)))), "")</f>
        <v/>
      </c>
    </row>
    <row r="257" spans="1:7" hidden="1" x14ac:dyDescent="0.45">
      <c r="A257" s="2" t="str">
        <f>Traduction!C116</f>
        <v>Nom de la personne/société qui détient les actions de cette entreprise</v>
      </c>
      <c r="B257" s="197"/>
      <c r="C257" s="197"/>
      <c r="D257" s="8" t="b">
        <f t="shared" ref="D257:D265" si="20">IF(NbOpérantes&gt;=7,IF(B257="",TRUE))</f>
        <v>0</v>
      </c>
      <c r="F257" s="118">
        <f>$B$153</f>
        <v>0</v>
      </c>
      <c r="G257" s="117" t="str" cm="1">
        <f t="array" ref="G257">IFERROR(IF(ROWS($F$254:F257)&gt;COUNTA($F$254:$F$278),"",INDEX($F$254:$F$278,SMALL(IF($F$254:$F$278&lt;&gt;0,ROW($F$254:$F$278)-ROW($F$254)+1),ROWS($F$254:F257)))), "")</f>
        <v/>
      </c>
    </row>
    <row r="258" spans="1:7" hidden="1" x14ac:dyDescent="0.45">
      <c r="A258" s="2" t="str">
        <f>Traduction!C117</f>
        <v>Pourcentage détenu par la personne/société inscrite ci-dessus (%)</v>
      </c>
      <c r="B258" s="198"/>
      <c r="C258" s="198"/>
      <c r="D258" s="8" t="b">
        <f t="shared" si="20"/>
        <v>0</v>
      </c>
      <c r="F258" s="118">
        <f>$B$167</f>
        <v>0</v>
      </c>
      <c r="G258" s="117" t="str" cm="1">
        <f t="array" ref="G258">IFERROR(IF(ROWS($F$254:F258)&gt;COUNTA($F$254:$F$278),"",INDEX($F$254:$F$278,SMALL(IF($F$254:$F$278&lt;&gt;0,ROW($F$254:$F$278)-ROW($F$254)+1),ROWS($F$254:F258)))), "")</f>
        <v/>
      </c>
    </row>
    <row r="259" spans="1:7" hidden="1" x14ac:dyDescent="0.45">
      <c r="A259" s="2" t="str">
        <f>Traduction!C93</f>
        <v>Je joins une copie des états financiers</v>
      </c>
      <c r="B259" s="198"/>
      <c r="C259" s="198"/>
      <c r="D259" s="8" t="b">
        <f t="shared" si="20"/>
        <v>0</v>
      </c>
      <c r="F259" s="83">
        <f>$B$183</f>
        <v>0</v>
      </c>
      <c r="G259" s="1" t="str" cm="1">
        <f t="array" ref="G259">IFERROR(IF(ROWS($F$254:F259)&gt;COUNTA($F$254:$F$278),"",INDEX($F$254:$F$278,SMALL(IF($F$254:$F$278&lt;&gt;0,ROW($F$254:$F$278)-ROW($F$254)+1),ROWS($F$254:F259)))), "")</f>
        <v/>
      </c>
    </row>
    <row r="260" spans="1:7" hidden="1" x14ac:dyDescent="0.45">
      <c r="A260" s="2" t="str">
        <f>Traduction!C94</f>
        <v>Je joins une copie de la déclaration de revenus fédérale T2</v>
      </c>
      <c r="B260" s="198"/>
      <c r="C260" s="198"/>
      <c r="D260" s="8" t="b">
        <f t="shared" si="20"/>
        <v>0</v>
      </c>
      <c r="F260" s="83">
        <f>$B$195</f>
        <v>0</v>
      </c>
      <c r="G260" s="1" t="str" cm="1">
        <f t="array" ref="G260">IFERROR(IF(ROWS($F$254:F260)&gt;COUNTA($F$254:$F$278),"",INDEX($F$254:$F$278,SMALL(IF($F$254:$F$278&lt;&gt;0,ROW($F$254:$F$278)-ROW($F$254)+1),ROWS($F$254:F260)))), "")</f>
        <v/>
      </c>
    </row>
    <row r="261" spans="1:7" hidden="1" x14ac:dyDescent="0.45">
      <c r="A261" s="2" t="str">
        <f>Traduction!C118</f>
        <v>Je joins une copie de l'organigramme</v>
      </c>
      <c r="B261" s="198"/>
      <c r="C261" s="198"/>
      <c r="D261" s="8" t="b">
        <f t="shared" si="20"/>
        <v>0</v>
      </c>
      <c r="F261" s="83">
        <f>$B$207</f>
        <v>0</v>
      </c>
      <c r="G261" s="1" t="str" cm="1">
        <f t="array" ref="G261">IFERROR(IF(ROWS($F$254:F261)&gt;COUNTA($F$254:$F$278),"",INDEX($F$254:$F$278,SMALL(IF($F$254:$F$278&lt;&gt;0,ROW($F$254:$F$278)-ROW($F$254)+1),ROWS($F$254:F261)))), "")</f>
        <v/>
      </c>
    </row>
    <row r="262" spans="1:7" hidden="1" x14ac:dyDescent="0.45">
      <c r="A262" s="2" t="str">
        <f>Traduction!C101</f>
        <v>Solde CRTG ($)</v>
      </c>
      <c r="B262" s="180" t="str">
        <f>IF(OR(B260="Oui",B260="Yes"),Traduction!C351,"")</f>
        <v/>
      </c>
      <c r="C262" s="180"/>
      <c r="D262" s="8" t="b">
        <f t="shared" si="20"/>
        <v>0</v>
      </c>
      <c r="F262" s="83">
        <f>$B$219</f>
        <v>0</v>
      </c>
      <c r="G262" s="1" t="str" cm="1">
        <f t="array" ref="G262">IFERROR(IF(ROWS($F$254:F262)&gt;COUNTA($F$254:$F$278),"",INDEX($F$254:$F$278,SMALL(IF($F$254:$F$278&lt;&gt;0,ROW($F$254:$F$278)-ROW($F$254)+1),ROWS($F$254:F262)))), "")</f>
        <v/>
      </c>
    </row>
    <row r="263" spans="1:7" hidden="1" x14ac:dyDescent="0.45">
      <c r="A263" s="2" t="str">
        <f>Traduction!C119</f>
        <v>Revenu d'entreprise net des dépenses annuelles ($)</v>
      </c>
      <c r="B263" s="199" t="str">
        <f>IF(OR(B259="Oui",B259="Yes"),Traduction!C351,"")</f>
        <v/>
      </c>
      <c r="C263" s="199"/>
      <c r="D263" s="8" t="b">
        <f t="shared" si="20"/>
        <v>0</v>
      </c>
      <c r="F263" s="83">
        <f>$B$231</f>
        <v>0</v>
      </c>
      <c r="G263" s="1" t="str" cm="1">
        <f t="array" ref="G263">IFERROR(IF(ROWS($F$254:F263)&gt;COUNTA($F$254:$F$278),"",INDEX($F$254:$F$278,SMALL(IF($F$254:$F$278&lt;&gt;0,ROW($F$254:$F$278)-ROW($F$254)+1),ROWS($F$254:F263)))), "")</f>
        <v/>
      </c>
    </row>
    <row r="264" spans="1:7" ht="15.75" hidden="1" x14ac:dyDescent="0.5">
      <c r="A264" s="2" t="str">
        <f>Traduction!C120</f>
        <v>% des bénéfices annuels investis dans des placements (surplus après impôts dans l'entreprise)</v>
      </c>
      <c r="B264" s="198"/>
      <c r="C264" s="198"/>
      <c r="D264" s="8" t="b">
        <f t="shared" si="20"/>
        <v>0</v>
      </c>
      <c r="F264" s="81">
        <f>$B$243</f>
        <v>0</v>
      </c>
      <c r="G264" s="1" t="str" cm="1">
        <f t="array" ref="G264">IFERROR(IF(ROWS($F$254:F264)&gt;COUNTA($F$254:$F$278),"",INDEX($F$254:$F$278,SMALL(IF($F$254:$F$278&lt;&gt;0,ROW($F$254:$F$278)-ROW($F$254)+1),ROWS($F$254:F264)))), "")</f>
        <v/>
      </c>
    </row>
    <row r="265" spans="1:7" hidden="1" x14ac:dyDescent="0.45">
      <c r="A265" s="2" t="str">
        <f>Traduction!C121</f>
        <v>Versement annuel pour rembourser le passif à long terme (le revenu net ci-dessus sera réduit de ce montant)</v>
      </c>
      <c r="B265" s="180" t="str">
        <f>IF(OR(B259="Oui",B259="Yes"),Traduction!C351,"")</f>
        <v/>
      </c>
      <c r="C265" s="180"/>
      <c r="D265" s="8" t="b">
        <f t="shared" si="20"/>
        <v>0</v>
      </c>
      <c r="F265" s="1">
        <f>$B$255</f>
        <v>0</v>
      </c>
      <c r="G265" s="1" t="str" cm="1">
        <f t="array" ref="G265">IFERROR(IF(ROWS($F$254:F265)&gt;COUNTA($F$254:$F$278),"",INDEX($F$254:$F$278,SMALL(IF($F$254:$F$278&lt;&gt;0,ROW($F$254:$F$278)-ROW($F$254)+1),ROWS($F$254:F265)))), "")</f>
        <v/>
      </c>
    </row>
    <row r="266" spans="1:7" hidden="1" x14ac:dyDescent="0.45">
      <c r="A266" s="145" t="str">
        <f>Traduction!C112</f>
        <v>Société opérante 8</v>
      </c>
      <c r="B266" s="146"/>
      <c r="C266" s="147"/>
      <c r="D266" s="8"/>
      <c r="F266" s="1">
        <f>$B$267</f>
        <v>0</v>
      </c>
      <c r="G266" s="1" t="str" cm="1">
        <f t="array" ref="G266">IFERROR(IF(ROWS($F$254:F266)&gt;COUNTA($F$254:$F$278),"",INDEX($F$254:$F$278,SMALL(IF($F$254:$F$278&lt;&gt;0,ROW($F$254:$F$278)-ROW($F$254)+1),ROWS($F$254:F266)))), "")</f>
        <v/>
      </c>
    </row>
    <row r="267" spans="1:7" ht="14.65" hidden="1" thickBot="1" x14ac:dyDescent="0.5">
      <c r="A267" s="2" t="str">
        <f>Traduction!C91</f>
        <v>Nom de la société</v>
      </c>
      <c r="B267" s="196"/>
      <c r="C267" s="196"/>
      <c r="D267" s="8" t="b">
        <f>IF(NbOpérantes&gt;=8,IF(B267="",TRUE))</f>
        <v>0</v>
      </c>
      <c r="F267" s="83">
        <f>$B$279</f>
        <v>0</v>
      </c>
      <c r="G267" s="1" t="str" cm="1">
        <f t="array" ref="G267">IFERROR(IF(ROWS($F$254:F267)&gt;COUNTA($F$254:$F$278),"",INDEX($F$254:$F$278,SMALL(IF($F$254:$F$278&lt;&gt;0,ROW($F$254:$F$278)-ROW($F$254)+1),ROWS($F$254:F267)))), "")</f>
        <v/>
      </c>
    </row>
    <row r="268" spans="1:7" ht="14.65" hidden="1" thickBot="1" x14ac:dyDescent="0.5">
      <c r="A268" s="73" t="str">
        <f>Traduction!C115</f>
        <v>Salaire annuel versé au client/conjoint</v>
      </c>
      <c r="B268" s="101" t="str">
        <f>IF(OR(B64="Oui",B64="Yes")+OR(Filtres!B61="Oui",Filtres!B61="Yes"),Traduction!C363,"")</f>
        <v/>
      </c>
      <c r="C268" s="101" t="str">
        <f>IF(OR(C64="Oui",C64="Yes")+OR(Filtres!B61="Oui",Filtres!B61="Yes"),Traduction!C363,"")</f>
        <v/>
      </c>
      <c r="D268" s="8" t="b">
        <f>IF((AND((B268=""),(C268=""),NbOpérantes&gt;=8)),TRUE)</f>
        <v>0</v>
      </c>
      <c r="F268" s="83">
        <f>$B$291</f>
        <v>0</v>
      </c>
      <c r="G268" s="1" t="str" cm="1">
        <f t="array" ref="G268">IFERROR(IF(ROWS($F$254:F268)&gt;COUNTA($F$254:$F$278),"",INDEX($F$254:$F$278,SMALL(IF($F$254:$F$278&lt;&gt;0,ROW($F$254:$F$278)-ROW($F$254)+1),ROWS($F$254:F268)))), "")</f>
        <v/>
      </c>
    </row>
    <row r="269" spans="1:7" hidden="1" x14ac:dyDescent="0.45">
      <c r="A269" s="2" t="str">
        <f>Traduction!C116</f>
        <v>Nom de la personne/société qui détient les actions de cette entreprise</v>
      </c>
      <c r="B269" s="197"/>
      <c r="C269" s="197"/>
      <c r="D269" s="8" t="b">
        <f t="shared" ref="D269:D277" si="21">IF(NbOpérantes&gt;=8,IF(B269="",TRUE))</f>
        <v>0</v>
      </c>
      <c r="F269" s="1">
        <f>$B$347</f>
        <v>0</v>
      </c>
      <c r="G269" s="1" t="str" cm="1">
        <f t="array" ref="G269">IFERROR(IF(ROWS($F$254:F269)&gt;COUNTA($F$254:$F$278),"",INDEX($F$254:$F$278,SMALL(IF($F$254:$F$278&lt;&gt;0,ROW($F$254:$F$278)-ROW($F$254)+1),ROWS($F$254:F269)))), "")</f>
        <v/>
      </c>
    </row>
    <row r="270" spans="1:7" hidden="1" x14ac:dyDescent="0.45">
      <c r="A270" s="2" t="str">
        <f>Traduction!C117</f>
        <v>Pourcentage détenu par la personne/société inscrite ci-dessus (%)</v>
      </c>
      <c r="B270" s="198"/>
      <c r="C270" s="198"/>
      <c r="D270" s="8" t="b">
        <f t="shared" si="21"/>
        <v>0</v>
      </c>
      <c r="F270" s="1">
        <f>$B$350</f>
        <v>0</v>
      </c>
      <c r="G270" s="1" t="str" cm="1">
        <f t="array" ref="G270">IFERROR(IF(ROWS($F$254:F270)&gt;COUNTA($F$254:$F$278),"",INDEX($F$254:$F$278,SMALL(IF($F$254:$F$278&lt;&gt;0,ROW($F$254:$F$278)-ROW($F$254)+1),ROWS($F$254:F270)))), "")</f>
        <v/>
      </c>
    </row>
    <row r="271" spans="1:7" hidden="1" x14ac:dyDescent="0.45">
      <c r="A271" s="2" t="str">
        <f>Traduction!C93</f>
        <v>Je joins une copie des états financiers</v>
      </c>
      <c r="B271" s="198"/>
      <c r="C271" s="198"/>
      <c r="D271" s="8" t="b">
        <f t="shared" si="21"/>
        <v>0</v>
      </c>
      <c r="F271" s="1">
        <f>$B$353</f>
        <v>0</v>
      </c>
      <c r="G271" s="1" t="str" cm="1">
        <f t="array" ref="G271">IFERROR(IF(ROWS($F$254:F271)&gt;COUNTA($F$254:$F$278),"",INDEX($F$254:$F$278,SMALL(IF($F$254:$F$278&lt;&gt;0,ROW($F$254:$F$278)-ROW($F$254)+1),ROWS($F$254:F271)))), "")</f>
        <v/>
      </c>
    </row>
    <row r="272" spans="1:7" hidden="1" x14ac:dyDescent="0.45">
      <c r="A272" s="2" t="str">
        <f>Traduction!C94</f>
        <v>Je joins une copie de la déclaration de revenus fédérale T2</v>
      </c>
      <c r="B272" s="198"/>
      <c r="C272" s="198"/>
      <c r="D272" s="8" t="b">
        <f t="shared" si="21"/>
        <v>0</v>
      </c>
      <c r="F272" s="1">
        <f>$B$356</f>
        <v>0</v>
      </c>
      <c r="G272" s="1" t="str" cm="1">
        <f t="array" ref="G272">IFERROR(IF(ROWS($F$254:F272)&gt;COUNTA($F$254:$F$278),"",INDEX($F$254:$F$278,SMALL(IF($F$254:$F$278&lt;&gt;0,ROW($F$254:$F$278)-ROW($F$254)+1),ROWS($F$254:F272)))), "")</f>
        <v/>
      </c>
    </row>
    <row r="273" spans="1:7" hidden="1" x14ac:dyDescent="0.45">
      <c r="A273" s="2" t="str">
        <f>Traduction!C118</f>
        <v>Je joins une copie de l'organigramme</v>
      </c>
      <c r="B273" s="198"/>
      <c r="C273" s="198"/>
      <c r="D273" s="8" t="b">
        <f t="shared" si="21"/>
        <v>0</v>
      </c>
      <c r="F273" s="1">
        <f>$B$359</f>
        <v>0</v>
      </c>
      <c r="G273" s="1" t="str" cm="1">
        <f t="array" ref="G273">IFERROR(IF(ROWS($F$254:F273)&gt;COUNTA($F$254:$F$278),"",INDEX($F$254:$F$278,SMALL(IF($F$254:$F$278&lt;&gt;0,ROW($F$254:$F$278)-ROW($F$254)+1),ROWS($F$254:F273)))), "")</f>
        <v/>
      </c>
    </row>
    <row r="274" spans="1:7" hidden="1" x14ac:dyDescent="0.45">
      <c r="A274" s="2" t="str">
        <f>Traduction!C101</f>
        <v>Solde CRTG ($)</v>
      </c>
      <c r="B274" s="180" t="str">
        <f>IF(OR(B272="Oui",B272="Yes"),Traduction!C363,"")</f>
        <v/>
      </c>
      <c r="C274" s="180"/>
      <c r="D274" s="8" t="b">
        <f t="shared" si="21"/>
        <v>0</v>
      </c>
      <c r="F274" s="1">
        <f>$B$362</f>
        <v>0</v>
      </c>
      <c r="G274" s="1" t="str" cm="1">
        <f t="array" ref="G274">IFERROR(IF(ROWS($F$254:F274)&gt;COUNTA($F$254:$F$278),"",INDEX($F$254:$F$278,SMALL(IF($F$254:$F$278&lt;&gt;0,ROW($F$254:$F$278)-ROW($F$254)+1),ROWS($F$254:F274)))), "")</f>
        <v/>
      </c>
    </row>
    <row r="275" spans="1:7" hidden="1" x14ac:dyDescent="0.45">
      <c r="A275" s="2" t="str">
        <f>Traduction!C119</f>
        <v>Revenu d'entreprise net des dépenses annuelles ($)</v>
      </c>
      <c r="B275" s="199" t="str">
        <f>IF(OR(B271="Oui",B271="Yes"),Traduction!C363,"")</f>
        <v/>
      </c>
      <c r="C275" s="199"/>
      <c r="D275" s="8" t="b">
        <f t="shared" si="21"/>
        <v>0</v>
      </c>
      <c r="F275" s="1">
        <f>$B$365</f>
        <v>0</v>
      </c>
      <c r="G275" s="1" t="str" cm="1">
        <f t="array" ref="G275">IFERROR(IF(ROWS($F$254:F275)&gt;COUNTA($F$254:$F$278),"",INDEX($F$254:$F$278,SMALL(IF($F$254:$F$278&lt;&gt;0,ROW($F$254:$F$278)-ROW($F$254)+1),ROWS($F$254:F275)))), "")</f>
        <v/>
      </c>
    </row>
    <row r="276" spans="1:7" hidden="1" x14ac:dyDescent="0.45">
      <c r="A276" s="2" t="str">
        <f>Traduction!C120</f>
        <v>% des bénéfices annuels investis dans des placements (surplus après impôts dans l'entreprise)</v>
      </c>
      <c r="B276" s="198"/>
      <c r="C276" s="198"/>
      <c r="D276" s="8" t="b">
        <f t="shared" si="21"/>
        <v>0</v>
      </c>
      <c r="F276" s="1">
        <f>$B$368</f>
        <v>0</v>
      </c>
      <c r="G276" s="1" t="str" cm="1">
        <f t="array" ref="G276">IFERROR(IF(ROWS($F$254:F276)&gt;COUNTA($F$254:$F$278),"",INDEX($F$254:$F$278,SMALL(IF($F$254:$F$278&lt;&gt;0,ROW($F$254:$F$278)-ROW($F$254)+1),ROWS($F$254:F276)))), "")</f>
        <v/>
      </c>
    </row>
    <row r="277" spans="1:7" hidden="1" x14ac:dyDescent="0.45">
      <c r="A277" s="2" t="str">
        <f>Traduction!C121</f>
        <v>Versement annuel pour rembourser le passif à long terme (le revenu net ci-dessus sera réduit de ce montant)</v>
      </c>
      <c r="B277" s="180" t="str">
        <f>IF(OR(B271="Oui",B271="Yes"),Traduction!C363,"")</f>
        <v/>
      </c>
      <c r="C277" s="180"/>
      <c r="D277" s="8" t="b">
        <f t="shared" si="21"/>
        <v>0</v>
      </c>
      <c r="F277" s="1">
        <f>$B$371</f>
        <v>0</v>
      </c>
      <c r="G277" s="1" t="str" cm="1">
        <f t="array" ref="G277">IFERROR(IF(ROWS($F$254:F277)&gt;COUNTA($F$254:$F$278),"",INDEX($F$254:$F$278,SMALL(IF($F$254:$F$278&lt;&gt;0,ROW($F$254:$F$278)-ROW($F$254)+1),ROWS($F$254:F277)))), "")</f>
        <v/>
      </c>
    </row>
    <row r="278" spans="1:7" hidden="1" x14ac:dyDescent="0.45">
      <c r="A278" s="145" t="str">
        <f>Traduction!C113</f>
        <v>Société opérante 9</v>
      </c>
      <c r="B278" s="146"/>
      <c r="C278" s="147"/>
      <c r="D278" s="8"/>
      <c r="F278" s="1">
        <f>$B$374</f>
        <v>0</v>
      </c>
      <c r="G278" s="1" t="str" cm="1">
        <f t="array" ref="G278">IFERROR(IF(ROWS($F$254:F278)&gt;COUNTA($F$254:$F$278),"",INDEX($F$254:$F$278,SMALL(IF($F$254:$F$278&lt;&gt;0,ROW($F$254:$F$278)-ROW($F$254)+1),ROWS($F$254:F278)))), "")</f>
        <v/>
      </c>
    </row>
    <row r="279" spans="1:7" ht="14.65" hidden="1" thickBot="1" x14ac:dyDescent="0.5">
      <c r="A279" s="2" t="str">
        <f>Traduction!C91</f>
        <v>Nom de la société</v>
      </c>
      <c r="B279" s="196"/>
      <c r="C279" s="196"/>
      <c r="D279" s="8" t="b">
        <f>IF(NbOpérantes&gt;=9,IF(B279="",TRUE))</f>
        <v>0</v>
      </c>
    </row>
    <row r="280" spans="1:7" ht="14.65" hidden="1" thickBot="1" x14ac:dyDescent="0.5">
      <c r="A280" s="73" t="str">
        <f>Traduction!C115</f>
        <v>Salaire annuel versé au client/conjoint</v>
      </c>
      <c r="B280" s="101" t="str">
        <f>IF(OR(B76="Oui",B76="Yes")+OR(Filtres!B73="Oui",Filtres!B73="Yes"),Traduction!C375,"")</f>
        <v/>
      </c>
      <c r="C280" s="101" t="str">
        <f>IF(OR(C76="Oui",C76="Yes")+OR(Filtres!B73="Oui",Filtres!B73="Yes"),Traduction!C375,"")</f>
        <v/>
      </c>
      <c r="D280" s="8" t="b">
        <f>IF((AND((B280=""),(C280=""),NbOpérantes&gt;=9)),TRUE)</f>
        <v>0</v>
      </c>
    </row>
    <row r="281" spans="1:7" hidden="1" x14ac:dyDescent="0.45">
      <c r="A281" s="2" t="str">
        <f>Traduction!C116</f>
        <v>Nom de la personne/société qui détient les actions de cette entreprise</v>
      </c>
      <c r="B281" s="197"/>
      <c r="C281" s="197"/>
      <c r="D281" s="8" t="b">
        <f t="shared" ref="D281:D289" si="22">IF(NbOpérantes&gt;=9,IF(B281="",TRUE))</f>
        <v>0</v>
      </c>
    </row>
    <row r="282" spans="1:7" hidden="1" x14ac:dyDescent="0.45">
      <c r="A282" s="2" t="str">
        <f>Traduction!C117</f>
        <v>Pourcentage détenu par la personne/société inscrite ci-dessus (%)</v>
      </c>
      <c r="B282" s="198"/>
      <c r="C282" s="198"/>
      <c r="D282" s="8" t="b">
        <f t="shared" si="22"/>
        <v>0</v>
      </c>
    </row>
    <row r="283" spans="1:7" hidden="1" x14ac:dyDescent="0.45">
      <c r="A283" s="2" t="str">
        <f>Traduction!C93</f>
        <v>Je joins une copie des états financiers</v>
      </c>
      <c r="B283" s="198"/>
      <c r="C283" s="198"/>
      <c r="D283" s="8" t="b">
        <f t="shared" si="22"/>
        <v>0</v>
      </c>
    </row>
    <row r="284" spans="1:7" hidden="1" x14ac:dyDescent="0.45">
      <c r="A284" s="2" t="str">
        <f>Traduction!C94</f>
        <v>Je joins une copie de la déclaration de revenus fédérale T2</v>
      </c>
      <c r="B284" s="198"/>
      <c r="C284" s="198"/>
      <c r="D284" s="8" t="b">
        <f t="shared" si="22"/>
        <v>0</v>
      </c>
    </row>
    <row r="285" spans="1:7" hidden="1" x14ac:dyDescent="0.45">
      <c r="A285" s="2" t="str">
        <f>Traduction!C118</f>
        <v>Je joins une copie de l'organigramme</v>
      </c>
      <c r="B285" s="198"/>
      <c r="C285" s="198"/>
      <c r="D285" s="8" t="b">
        <f t="shared" si="22"/>
        <v>0</v>
      </c>
    </row>
    <row r="286" spans="1:7" hidden="1" x14ac:dyDescent="0.45">
      <c r="A286" s="2" t="str">
        <f>Traduction!C101</f>
        <v>Solde CRTG ($)</v>
      </c>
      <c r="B286" s="180" t="str">
        <f>IF(OR(B284="Oui",B284="Yes"),Traduction!C375,"")</f>
        <v/>
      </c>
      <c r="C286" s="180"/>
      <c r="D286" s="8" t="b">
        <f t="shared" si="22"/>
        <v>0</v>
      </c>
    </row>
    <row r="287" spans="1:7" hidden="1" x14ac:dyDescent="0.45">
      <c r="A287" s="2" t="str">
        <f>Traduction!C119</f>
        <v>Revenu d'entreprise net des dépenses annuelles ($)</v>
      </c>
      <c r="B287" s="199" t="str">
        <f>IF(OR(B283="Oui",B283="Yes"),Traduction!C375,"")</f>
        <v/>
      </c>
      <c r="C287" s="199"/>
      <c r="D287" s="8" t="b">
        <f t="shared" si="22"/>
        <v>0</v>
      </c>
    </row>
    <row r="288" spans="1:7" hidden="1" x14ac:dyDescent="0.45">
      <c r="A288" s="2" t="str">
        <f>Traduction!C120</f>
        <v>% des bénéfices annuels investis dans des placements (surplus après impôts dans l'entreprise)</v>
      </c>
      <c r="B288" s="198"/>
      <c r="C288" s="198"/>
      <c r="D288" s="8" t="b">
        <f t="shared" si="22"/>
        <v>0</v>
      </c>
    </row>
    <row r="289" spans="1:4" hidden="1" x14ac:dyDescent="0.45">
      <c r="A289" s="2" t="str">
        <f>Traduction!C121</f>
        <v>Versement annuel pour rembourser le passif à long terme (le revenu net ci-dessus sera réduit de ce montant)</v>
      </c>
      <c r="B289" s="180" t="str">
        <f>IF(OR(B283="Oui",B283="Yes"),Traduction!C375,"")</f>
        <v/>
      </c>
      <c r="C289" s="180"/>
      <c r="D289" s="8" t="b">
        <f t="shared" si="22"/>
        <v>0</v>
      </c>
    </row>
    <row r="290" spans="1:4" hidden="1" x14ac:dyDescent="0.45">
      <c r="A290" s="145" t="str">
        <f>Traduction!C114</f>
        <v>Société opérante 10</v>
      </c>
      <c r="B290" s="146"/>
      <c r="C290" s="147"/>
      <c r="D290" s="8"/>
    </row>
    <row r="291" spans="1:4" ht="14.65" hidden="1" thickBot="1" x14ac:dyDescent="0.5">
      <c r="A291" s="2" t="str">
        <f>Traduction!C91</f>
        <v>Nom de la société</v>
      </c>
      <c r="B291" s="196"/>
      <c r="C291" s="196"/>
      <c r="D291" s="8" t="b">
        <f>IF(NbOpérantes&gt;=10,IF(B291="",TRUE))</f>
        <v>0</v>
      </c>
    </row>
    <row r="292" spans="1:4" ht="14.65" hidden="1" thickBot="1" x14ac:dyDescent="0.5">
      <c r="A292" s="73" t="str">
        <f>Traduction!C115</f>
        <v>Salaire annuel versé au client/conjoint</v>
      </c>
      <c r="B292" s="101" t="str">
        <f>IF(OR(B88="Oui",B88="Yes")+OR(Filtres!B85="Oui",Filtres!B85="Yes"),Traduction!C387,"")</f>
        <v/>
      </c>
      <c r="C292" s="102" t="str">
        <f>IF(OR(C88="Oui",C88="Yes")+OR(Filtres!B85="Oui",Filtres!B85="Yes"),Traduction!C387,"")</f>
        <v/>
      </c>
      <c r="D292" s="8" t="b">
        <f>IF((AND((B292=""),(C292=""),NbOpérantes&gt;=10)),TRUE)</f>
        <v>0</v>
      </c>
    </row>
    <row r="293" spans="1:4" hidden="1" x14ac:dyDescent="0.45">
      <c r="A293" s="2" t="str">
        <f>Traduction!C116</f>
        <v>Nom de la personne/société qui détient les actions de cette entreprise</v>
      </c>
      <c r="B293" s="197"/>
      <c r="C293" s="197"/>
      <c r="D293" s="8" t="b">
        <f t="shared" ref="D293:D301" si="23">IF(NbOpérantes&gt;=10,IF(B293="",TRUE))</f>
        <v>0</v>
      </c>
    </row>
    <row r="294" spans="1:4" hidden="1" x14ac:dyDescent="0.45">
      <c r="A294" s="2" t="str">
        <f>Traduction!C117</f>
        <v>Pourcentage détenu par la personne/société inscrite ci-dessus (%)</v>
      </c>
      <c r="B294" s="198"/>
      <c r="C294" s="198"/>
      <c r="D294" s="8" t="b">
        <f t="shared" si="23"/>
        <v>0</v>
      </c>
    </row>
    <row r="295" spans="1:4" hidden="1" x14ac:dyDescent="0.45">
      <c r="A295" s="2" t="str">
        <f>Traduction!C93</f>
        <v>Je joins une copie des états financiers</v>
      </c>
      <c r="B295" s="198"/>
      <c r="C295" s="198"/>
      <c r="D295" s="8" t="b">
        <f t="shared" si="23"/>
        <v>0</v>
      </c>
    </row>
    <row r="296" spans="1:4" hidden="1" x14ac:dyDescent="0.45">
      <c r="A296" s="2" t="str">
        <f>Traduction!C94</f>
        <v>Je joins une copie de la déclaration de revenus fédérale T2</v>
      </c>
      <c r="B296" s="198"/>
      <c r="C296" s="198"/>
      <c r="D296" s="8" t="b">
        <f t="shared" si="23"/>
        <v>0</v>
      </c>
    </row>
    <row r="297" spans="1:4" hidden="1" x14ac:dyDescent="0.45">
      <c r="A297" s="2" t="str">
        <f>Traduction!C118</f>
        <v>Je joins une copie de l'organigramme</v>
      </c>
      <c r="B297" s="198"/>
      <c r="C297" s="198"/>
      <c r="D297" s="8" t="b">
        <f t="shared" si="23"/>
        <v>0</v>
      </c>
    </row>
    <row r="298" spans="1:4" hidden="1" x14ac:dyDescent="0.45">
      <c r="A298" s="2" t="str">
        <f>Traduction!C101</f>
        <v>Solde CRTG ($)</v>
      </c>
      <c r="B298" s="180" t="str">
        <f>IF(OR(B296="Oui",B296="Yes"),Traduction!C387,"")</f>
        <v/>
      </c>
      <c r="C298" s="180"/>
      <c r="D298" s="8" t="b">
        <f t="shared" si="23"/>
        <v>0</v>
      </c>
    </row>
    <row r="299" spans="1:4" hidden="1" x14ac:dyDescent="0.45">
      <c r="A299" s="2" t="str">
        <f>Traduction!C119</f>
        <v>Revenu d'entreprise net des dépenses annuelles ($)</v>
      </c>
      <c r="B299" s="199" t="str">
        <f>IF(OR(B295="Oui",B295="Yes"),Traduction!C387,"")</f>
        <v/>
      </c>
      <c r="C299" s="199"/>
      <c r="D299" s="8" t="b">
        <f t="shared" si="23"/>
        <v>0</v>
      </c>
    </row>
    <row r="300" spans="1:4" hidden="1" x14ac:dyDescent="0.45">
      <c r="A300" s="2" t="str">
        <f>Traduction!C120</f>
        <v>% des bénéfices annuels investis dans des placements (surplus après impôts dans l'entreprise)</v>
      </c>
      <c r="B300" s="198"/>
      <c r="C300" s="198"/>
      <c r="D300" s="8" t="b">
        <f t="shared" si="23"/>
        <v>0</v>
      </c>
    </row>
    <row r="301" spans="1:4" hidden="1" x14ac:dyDescent="0.45">
      <c r="A301" s="2" t="str">
        <f>Traduction!C121</f>
        <v>Versement annuel pour rembourser le passif à long terme (le revenu net ci-dessus sera réduit de ce montant)</v>
      </c>
      <c r="B301" s="180" t="str">
        <f>IF(OR(B295="Oui",B295="Yes"),Traduction!C387,"")</f>
        <v/>
      </c>
      <c r="C301" s="180"/>
      <c r="D301" s="8" t="b">
        <f t="shared" si="23"/>
        <v>0</v>
      </c>
    </row>
    <row r="302" spans="1:4" hidden="1" x14ac:dyDescent="0.45">
      <c r="A302" s="185" t="str">
        <f>Traduction!C122</f>
        <v>Fiducie(s)</v>
      </c>
      <c r="B302" s="162"/>
      <c r="C302" s="186"/>
    </row>
    <row r="303" spans="1:4" hidden="1" x14ac:dyDescent="0.45">
      <c r="A303" s="187"/>
      <c r="B303" s="160"/>
      <c r="C303" s="188"/>
    </row>
    <row r="304" spans="1:4" hidden="1" x14ac:dyDescent="0.45">
      <c r="A304" s="157" t="str">
        <f>Traduction!C123</f>
        <v>Fiducie 1</v>
      </c>
      <c r="B304" s="157"/>
      <c r="C304" s="157"/>
    </row>
    <row r="305" spans="1:4" ht="28.5" hidden="1" x14ac:dyDescent="0.45">
      <c r="A305" s="68" t="str">
        <f>Traduction!C133</f>
        <v>Bénéficiaire (nom du client, du conjoint ou de la société, le nom doit être inscrit dans les sections en haut pour être inclus dans le menu déroulant)</v>
      </c>
      <c r="B305" s="138"/>
      <c r="C305" s="139"/>
      <c r="D305" t="str">
        <f>IF(NbFiducies&gt;=1,ISBLANK(B305),"")</f>
        <v/>
      </c>
    </row>
    <row r="306" spans="1:4" hidden="1" x14ac:dyDescent="0.45">
      <c r="A306" s="2" t="str">
        <f>Traduction!C134</f>
        <v>Je joins une copie de l'acte de fiducie</v>
      </c>
      <c r="B306" s="138"/>
      <c r="C306" s="139"/>
      <c r="D306" t="str">
        <f>IF(NbFiducies&gt;=1,ISBLANK(B306),"")</f>
        <v/>
      </c>
    </row>
    <row r="307" spans="1:4" hidden="1" x14ac:dyDescent="0.45">
      <c r="A307" s="2" t="str">
        <f>Traduction!C135</f>
        <v>Nombre de bénéficiaires</v>
      </c>
      <c r="B307" s="138"/>
      <c r="C307" s="139"/>
      <c r="D307" t="str">
        <f>IF(NbFiducies&gt;=1,ISBLANK(B307),"")</f>
        <v/>
      </c>
    </row>
    <row r="308" spans="1:4" hidden="1" x14ac:dyDescent="0.45">
      <c r="A308" s="157" t="str">
        <f>Traduction!C124</f>
        <v>Fiducie 2</v>
      </c>
      <c r="B308" s="157"/>
      <c r="C308" s="157"/>
    </row>
    <row r="309" spans="1:4" ht="28.5" hidden="1" x14ac:dyDescent="0.45">
      <c r="A309" s="69" t="str">
        <f>Traduction!C133</f>
        <v>Bénéficiaire (nom du client, du conjoint ou de la société, le nom doit être inscrit dans les sections en haut pour être inclus dans le menu déroulant)</v>
      </c>
      <c r="B309" s="138"/>
      <c r="C309" s="139"/>
      <c r="D309" t="str">
        <f>IF(NbFiducies&gt;=2,ISBLANK(B309),"")</f>
        <v/>
      </c>
    </row>
    <row r="310" spans="1:4" hidden="1" x14ac:dyDescent="0.45">
      <c r="A310" s="14" t="str">
        <f>Traduction!C134</f>
        <v>Je joins une copie de l'acte de fiducie</v>
      </c>
      <c r="B310" s="138"/>
      <c r="C310" s="139"/>
      <c r="D310" t="str">
        <f>IF(NbFiducies&gt;=2,ISBLANK(B310),"")</f>
        <v/>
      </c>
    </row>
    <row r="311" spans="1:4" hidden="1" x14ac:dyDescent="0.45">
      <c r="A311" s="14" t="str">
        <f>Traduction!C135</f>
        <v>Nombre de bénéficiaires</v>
      </c>
      <c r="B311" s="138"/>
      <c r="C311" s="139"/>
      <c r="D311" t="str">
        <f>IF(NbFiducies&gt;=2,ISBLANK(B311),"")</f>
        <v/>
      </c>
    </row>
    <row r="312" spans="1:4" hidden="1" x14ac:dyDescent="0.45">
      <c r="A312" s="157" t="str">
        <f>Traduction!C125</f>
        <v>Fiducie 3</v>
      </c>
      <c r="B312" s="157"/>
      <c r="C312" s="157"/>
    </row>
    <row r="313" spans="1:4" ht="28.5" hidden="1" x14ac:dyDescent="0.45">
      <c r="A313" s="75" t="str">
        <f>Traduction!C133</f>
        <v>Bénéficiaire (nom du client, du conjoint ou de la société, le nom doit être inscrit dans les sections en haut pour être inclus dans le menu déroulant)</v>
      </c>
      <c r="B313" s="138"/>
      <c r="C313" s="139"/>
      <c r="D313" t="str">
        <f>IF(NbFiducies&gt;=3,ISBLANK(B313),"")</f>
        <v/>
      </c>
    </row>
    <row r="314" spans="1:4" hidden="1" x14ac:dyDescent="0.45">
      <c r="A314" s="74" t="str">
        <f>Traduction!C134</f>
        <v>Je joins une copie de l'acte de fiducie</v>
      </c>
      <c r="B314" s="138"/>
      <c r="C314" s="139"/>
      <c r="D314" t="str">
        <f>IF(NbFiducies&gt;=3,ISBLANK(B314),"")</f>
        <v/>
      </c>
    </row>
    <row r="315" spans="1:4" hidden="1" x14ac:dyDescent="0.45">
      <c r="A315" s="74" t="str">
        <f>Traduction!C135</f>
        <v>Nombre de bénéficiaires</v>
      </c>
      <c r="B315" s="138"/>
      <c r="C315" s="139"/>
      <c r="D315" t="str">
        <f>IF(NbFiducies&gt;=3,ISBLANK(B315),"")</f>
        <v/>
      </c>
    </row>
    <row r="316" spans="1:4" hidden="1" x14ac:dyDescent="0.45">
      <c r="A316" s="157" t="str">
        <f>Traduction!C126</f>
        <v>Fiducie 4</v>
      </c>
      <c r="B316" s="157"/>
      <c r="C316" s="157"/>
    </row>
    <row r="317" spans="1:4" ht="28.5" hidden="1" x14ac:dyDescent="0.45">
      <c r="A317" s="75" t="str">
        <f>Traduction!C133</f>
        <v>Bénéficiaire (nom du client, du conjoint ou de la société, le nom doit être inscrit dans les sections en haut pour être inclus dans le menu déroulant)</v>
      </c>
      <c r="B317" s="138"/>
      <c r="C317" s="139"/>
      <c r="D317" t="str">
        <f>IF(NbFiducies&gt;=4,ISBLANK(B317),"")</f>
        <v/>
      </c>
    </row>
    <row r="318" spans="1:4" hidden="1" x14ac:dyDescent="0.45">
      <c r="A318" s="74" t="str">
        <f>Traduction!C134</f>
        <v>Je joins une copie de l'acte de fiducie</v>
      </c>
      <c r="B318" s="138"/>
      <c r="C318" s="139"/>
      <c r="D318" t="str">
        <f>IF(NbFiducies&gt;=4,ISBLANK(B318),"")</f>
        <v/>
      </c>
    </row>
    <row r="319" spans="1:4" hidden="1" x14ac:dyDescent="0.45">
      <c r="A319" s="74" t="str">
        <f>Traduction!C135</f>
        <v>Nombre de bénéficiaires</v>
      </c>
      <c r="B319" s="138"/>
      <c r="C319" s="139"/>
      <c r="D319" t="str">
        <f>IF(NbFiducies&gt;=4,ISBLANK(B319),"")</f>
        <v/>
      </c>
    </row>
    <row r="320" spans="1:4" hidden="1" x14ac:dyDescent="0.45">
      <c r="A320" s="157" t="str">
        <f>Traduction!C127</f>
        <v>Fiducie 5</v>
      </c>
      <c r="B320" s="157"/>
      <c r="C320" s="157"/>
    </row>
    <row r="321" spans="1:4" ht="28.5" hidden="1" x14ac:dyDescent="0.45">
      <c r="A321" s="75" t="str">
        <f>Traduction!C133</f>
        <v>Bénéficiaire (nom du client, du conjoint ou de la société, le nom doit être inscrit dans les sections en haut pour être inclus dans le menu déroulant)</v>
      </c>
      <c r="B321" s="138"/>
      <c r="C321" s="139"/>
      <c r="D321" t="str">
        <f>IF(NbFiducies&gt;=5,ISBLANK(B321),"")</f>
        <v/>
      </c>
    </row>
    <row r="322" spans="1:4" hidden="1" x14ac:dyDescent="0.45">
      <c r="A322" s="74" t="str">
        <f>Traduction!C134</f>
        <v>Je joins une copie de l'acte de fiducie</v>
      </c>
      <c r="B322" s="138"/>
      <c r="C322" s="139"/>
      <c r="D322" t="str">
        <f>IF(NbFiducies&gt;=5,ISBLANK(B322),"")</f>
        <v/>
      </c>
    </row>
    <row r="323" spans="1:4" hidden="1" x14ac:dyDescent="0.45">
      <c r="A323" s="74" t="str">
        <f>Traduction!C135</f>
        <v>Nombre de bénéficiaires</v>
      </c>
      <c r="B323" s="138"/>
      <c r="C323" s="139"/>
      <c r="D323" t="str">
        <f>IF(NbFiducies&gt;=5,ISBLANK(B323),"")</f>
        <v/>
      </c>
    </row>
    <row r="324" spans="1:4" hidden="1" x14ac:dyDescent="0.45">
      <c r="A324" s="157" t="str">
        <f>Traduction!C128</f>
        <v>Fiducie 6</v>
      </c>
      <c r="B324" s="157"/>
      <c r="C324" s="157"/>
    </row>
    <row r="325" spans="1:4" ht="28.5" hidden="1" x14ac:dyDescent="0.45">
      <c r="A325" s="75" t="str">
        <f>Traduction!C133</f>
        <v>Bénéficiaire (nom du client, du conjoint ou de la société, le nom doit être inscrit dans les sections en haut pour être inclus dans le menu déroulant)</v>
      </c>
      <c r="B325" s="138"/>
      <c r="C325" s="139"/>
      <c r="D325" t="str">
        <f>IF(NbFiducies&gt;=6,ISBLANK(B325),"")</f>
        <v/>
      </c>
    </row>
    <row r="326" spans="1:4" hidden="1" x14ac:dyDescent="0.45">
      <c r="A326" s="74" t="str">
        <f>Traduction!C134</f>
        <v>Je joins une copie de l'acte de fiducie</v>
      </c>
      <c r="B326" s="138"/>
      <c r="C326" s="139"/>
      <c r="D326" t="str">
        <f>IF(NbFiducies&gt;=6,ISBLANK(B326),"")</f>
        <v/>
      </c>
    </row>
    <row r="327" spans="1:4" hidden="1" x14ac:dyDescent="0.45">
      <c r="A327" s="74" t="str">
        <f>Traduction!C135</f>
        <v>Nombre de bénéficiaires</v>
      </c>
      <c r="B327" s="138"/>
      <c r="C327" s="139"/>
      <c r="D327" t="str">
        <f>IF(NbFiducies&gt;=6,ISBLANK(B327),"")</f>
        <v/>
      </c>
    </row>
    <row r="328" spans="1:4" hidden="1" x14ac:dyDescent="0.45">
      <c r="A328" s="157" t="str">
        <f>Traduction!C129</f>
        <v>Fiducie 7</v>
      </c>
      <c r="B328" s="157"/>
      <c r="C328" s="157"/>
    </row>
    <row r="329" spans="1:4" ht="28.5" hidden="1" x14ac:dyDescent="0.45">
      <c r="A329" s="75" t="str">
        <f>Traduction!C133</f>
        <v>Bénéficiaire (nom du client, du conjoint ou de la société, le nom doit être inscrit dans les sections en haut pour être inclus dans le menu déroulant)</v>
      </c>
      <c r="B329" s="200"/>
      <c r="C329" s="201"/>
      <c r="D329" t="str">
        <f>IF(NbFiducies&gt;=7,ISBLANK(B329),"")</f>
        <v/>
      </c>
    </row>
    <row r="330" spans="1:4" hidden="1" x14ac:dyDescent="0.45">
      <c r="A330" s="74" t="str">
        <f>Traduction!C134</f>
        <v>Je joins une copie de l'acte de fiducie</v>
      </c>
      <c r="B330" s="200"/>
      <c r="C330" s="201"/>
      <c r="D330" t="str">
        <f>IF(NbFiducies&gt;=7,ISBLANK(B330),"")</f>
        <v/>
      </c>
    </row>
    <row r="331" spans="1:4" hidden="1" x14ac:dyDescent="0.45">
      <c r="A331" s="74" t="str">
        <f>Traduction!C135</f>
        <v>Nombre de bénéficiaires</v>
      </c>
      <c r="B331" s="200"/>
      <c r="C331" s="201"/>
      <c r="D331" t="str">
        <f>IF(NbFiducies&gt;=7,ISBLANK(B331),"")</f>
        <v/>
      </c>
    </row>
    <row r="332" spans="1:4" hidden="1" x14ac:dyDescent="0.45">
      <c r="A332" s="157" t="str">
        <f>Traduction!C130</f>
        <v>Fiducie 8</v>
      </c>
      <c r="B332" s="157"/>
      <c r="C332" s="157"/>
    </row>
    <row r="333" spans="1:4" ht="28.5" hidden="1" x14ac:dyDescent="0.45">
      <c r="A333" s="75" t="str">
        <f>Traduction!C133</f>
        <v>Bénéficiaire (nom du client, du conjoint ou de la société, le nom doit être inscrit dans les sections en haut pour être inclus dans le menu déroulant)</v>
      </c>
      <c r="B333" s="200"/>
      <c r="C333" s="201"/>
      <c r="D333" t="str">
        <f>IF(NbFiducies&gt;=8,ISBLANK(B333),"")</f>
        <v/>
      </c>
    </row>
    <row r="334" spans="1:4" hidden="1" x14ac:dyDescent="0.45">
      <c r="A334" s="74" t="str">
        <f>Traduction!C134</f>
        <v>Je joins une copie de l'acte de fiducie</v>
      </c>
      <c r="B334" s="200"/>
      <c r="C334" s="201"/>
      <c r="D334" t="str">
        <f>IF(NbFiducies&gt;=8,ISBLANK(B334),"")</f>
        <v/>
      </c>
    </row>
    <row r="335" spans="1:4" hidden="1" x14ac:dyDescent="0.45">
      <c r="A335" s="74" t="str">
        <f>Traduction!C135</f>
        <v>Nombre de bénéficiaires</v>
      </c>
      <c r="B335" s="200"/>
      <c r="C335" s="201"/>
      <c r="D335" t="str">
        <f>IF(NbFiducies&gt;=8,ISBLANK(B335),"")</f>
        <v/>
      </c>
    </row>
    <row r="336" spans="1:4" hidden="1" x14ac:dyDescent="0.45">
      <c r="A336" s="157" t="str">
        <f>Traduction!C131</f>
        <v>Fiducie 9</v>
      </c>
      <c r="B336" s="157"/>
      <c r="C336" s="157"/>
    </row>
    <row r="337" spans="1:4" ht="28.5" hidden="1" x14ac:dyDescent="0.45">
      <c r="A337" s="75" t="str">
        <f>Traduction!C133</f>
        <v>Bénéficiaire (nom du client, du conjoint ou de la société, le nom doit être inscrit dans les sections en haut pour être inclus dans le menu déroulant)</v>
      </c>
      <c r="B337" s="200"/>
      <c r="C337" s="201"/>
      <c r="D337" t="str">
        <f>IF(NbFiducies&gt;=9,ISBLANK(B337),"")</f>
        <v/>
      </c>
    </row>
    <row r="338" spans="1:4" hidden="1" x14ac:dyDescent="0.45">
      <c r="A338" s="74" t="str">
        <f>Traduction!C134</f>
        <v>Je joins une copie de l'acte de fiducie</v>
      </c>
      <c r="B338" s="200"/>
      <c r="C338" s="201"/>
      <c r="D338" t="str">
        <f>IF(NbFiducies&gt;=9,ISBLANK(B338),"")</f>
        <v/>
      </c>
    </row>
    <row r="339" spans="1:4" hidden="1" x14ac:dyDescent="0.45">
      <c r="A339" s="74" t="str">
        <f>Traduction!C135</f>
        <v>Nombre de bénéficiaires</v>
      </c>
      <c r="B339" s="200"/>
      <c r="C339" s="201"/>
      <c r="D339" t="str">
        <f>IF(NbFiducies&gt;=9,ISBLANK(B339),"")</f>
        <v/>
      </c>
    </row>
    <row r="340" spans="1:4" hidden="1" x14ac:dyDescent="0.45">
      <c r="A340" s="157" t="str">
        <f>Traduction!C132</f>
        <v>Fiducie 10</v>
      </c>
      <c r="B340" s="157"/>
      <c r="C340" s="157"/>
    </row>
    <row r="341" spans="1:4" ht="28.5" hidden="1" x14ac:dyDescent="0.45">
      <c r="A341" s="75" t="str">
        <f>Traduction!C133</f>
        <v>Bénéficiaire (nom du client, du conjoint ou de la société, le nom doit être inscrit dans les sections en haut pour être inclus dans le menu déroulant)</v>
      </c>
      <c r="B341" s="200"/>
      <c r="C341" s="201"/>
      <c r="D341" t="str">
        <f>IF(NbFiducies&gt;=10,ISBLANK(B341),"")</f>
        <v/>
      </c>
    </row>
    <row r="342" spans="1:4" hidden="1" x14ac:dyDescent="0.45">
      <c r="A342" s="74" t="str">
        <f>Traduction!C134</f>
        <v>Je joins une copie de l'acte de fiducie</v>
      </c>
      <c r="B342" s="200"/>
      <c r="C342" s="201"/>
      <c r="D342" t="str">
        <f>IF(NbFiducies&gt;=10,ISBLANK(B342),"")</f>
        <v/>
      </c>
    </row>
    <row r="343" spans="1:4" hidden="1" x14ac:dyDescent="0.45">
      <c r="A343" s="74" t="str">
        <f>Traduction!C135</f>
        <v>Nombre de bénéficiaires</v>
      </c>
      <c r="B343" s="200"/>
      <c r="C343" s="201"/>
      <c r="D343" t="str">
        <f>IF(NbFiducies&gt;=10,ISBLANK(B343),"")</f>
        <v/>
      </c>
    </row>
    <row r="344" spans="1:4" hidden="1" x14ac:dyDescent="0.45">
      <c r="A344" s="159" t="str">
        <f>Traduction!C136</f>
        <v xml:space="preserve">Société en nom collectif (S.E.N.C) </v>
      </c>
      <c r="B344" s="159"/>
      <c r="C344" s="159"/>
    </row>
    <row r="345" spans="1:4" hidden="1" x14ac:dyDescent="0.45">
      <c r="A345" s="160"/>
      <c r="B345" s="160"/>
      <c r="C345" s="160"/>
    </row>
    <row r="346" spans="1:4" hidden="1" x14ac:dyDescent="0.45">
      <c r="A346" s="157" t="str">
        <f>Traduction!C137</f>
        <v>S.E.N.C. 1</v>
      </c>
      <c r="B346" s="157"/>
      <c r="C346" s="157"/>
    </row>
    <row r="347" spans="1:4" hidden="1" x14ac:dyDescent="0.45">
      <c r="A347" s="2" t="str">
        <f>Traduction!C60</f>
        <v>Nom</v>
      </c>
      <c r="B347" s="138"/>
      <c r="C347" s="139"/>
      <c r="D347" t="str">
        <f>IF(NbSENC&gt;=1,ISBLANK(B347),"")</f>
        <v/>
      </c>
    </row>
    <row r="348" spans="1:4" hidden="1" x14ac:dyDescent="0.45">
      <c r="A348" s="2" t="str">
        <f>Traduction!C147</f>
        <v>Je joins une copie des états financiers (obligatoire)</v>
      </c>
      <c r="B348" s="138"/>
      <c r="C348" s="139"/>
      <c r="D348" t="str">
        <f>IF(NbSENC&gt;=1,ISBLANK(B348),"")</f>
        <v/>
      </c>
    </row>
    <row r="349" spans="1:4" hidden="1" x14ac:dyDescent="0.45">
      <c r="A349" s="157" t="str">
        <f>Traduction!C138</f>
        <v>S.E.N.C. 2</v>
      </c>
      <c r="B349" s="157"/>
      <c r="C349" s="157"/>
    </row>
    <row r="350" spans="1:4" hidden="1" x14ac:dyDescent="0.45">
      <c r="A350" s="6" t="str">
        <f>Traduction!C60</f>
        <v>Nom</v>
      </c>
      <c r="B350" s="138"/>
      <c r="C350" s="139"/>
      <c r="D350" t="str">
        <f>IF(NbSENC&gt;=2,ISBLANK(B350),"")</f>
        <v/>
      </c>
    </row>
    <row r="351" spans="1:4" hidden="1" x14ac:dyDescent="0.45">
      <c r="A351" s="6" t="str">
        <f>Traduction!C147</f>
        <v>Je joins une copie des états financiers (obligatoire)</v>
      </c>
      <c r="B351" s="138"/>
      <c r="C351" s="139"/>
      <c r="D351" t="str">
        <f>IF(NbSENC&gt;=2,ISBLANK(B351),"")</f>
        <v/>
      </c>
    </row>
    <row r="352" spans="1:4" hidden="1" x14ac:dyDescent="0.45">
      <c r="A352" s="157" t="str">
        <f>Traduction!C139</f>
        <v>S.E.N.C. 3</v>
      </c>
      <c r="B352" s="157"/>
      <c r="C352" s="157"/>
    </row>
    <row r="353" spans="1:4" hidden="1" x14ac:dyDescent="0.45">
      <c r="A353" s="70" t="str">
        <f>Traduction!C60</f>
        <v>Nom</v>
      </c>
      <c r="B353" s="138"/>
      <c r="C353" s="139"/>
      <c r="D353" s="72" t="str">
        <f>IF(NbSENC&gt;=3,ISBLANK(B353),"")</f>
        <v/>
      </c>
    </row>
    <row r="354" spans="1:4" hidden="1" x14ac:dyDescent="0.45">
      <c r="A354" s="70" t="str">
        <f>Traduction!C147</f>
        <v>Je joins une copie des états financiers (obligatoire)</v>
      </c>
      <c r="B354" s="138"/>
      <c r="C354" s="139"/>
      <c r="D354" s="71" t="str">
        <f>IF(NbSENC&gt;=3,ISBLANK(B353),"")</f>
        <v/>
      </c>
    </row>
    <row r="355" spans="1:4" hidden="1" x14ac:dyDescent="0.45">
      <c r="A355" s="145" t="str">
        <f>Traduction!C140</f>
        <v>S.E.N.C. 4</v>
      </c>
      <c r="B355" s="146"/>
      <c r="C355" s="147"/>
    </row>
    <row r="356" spans="1:4" hidden="1" x14ac:dyDescent="0.45">
      <c r="A356" s="70" t="str">
        <f>Traduction!C60</f>
        <v>Nom</v>
      </c>
      <c r="B356" s="138"/>
      <c r="C356" s="139"/>
      <c r="D356" s="72" t="str">
        <f>IF(NbSENC&gt;=4,ISBLANK(B356),"")</f>
        <v/>
      </c>
    </row>
    <row r="357" spans="1:4" hidden="1" x14ac:dyDescent="0.45">
      <c r="A357" s="70" t="str">
        <f>Traduction!C147</f>
        <v>Je joins une copie des états financiers (obligatoire)</v>
      </c>
      <c r="B357" s="138"/>
      <c r="C357" s="139"/>
      <c r="D357" s="71" t="str">
        <f>IF(NbSENC&gt;=4,ISBLANK(B357),"")</f>
        <v/>
      </c>
    </row>
    <row r="358" spans="1:4" hidden="1" x14ac:dyDescent="0.45">
      <c r="A358" s="145" t="str">
        <f>Traduction!C141</f>
        <v>S.E.N.C. 5</v>
      </c>
      <c r="B358" s="146"/>
      <c r="C358" s="147"/>
    </row>
    <row r="359" spans="1:4" hidden="1" x14ac:dyDescent="0.45">
      <c r="A359" s="70" t="str">
        <f>Traduction!C60</f>
        <v>Nom</v>
      </c>
      <c r="B359" s="138"/>
      <c r="C359" s="139"/>
      <c r="D359" s="72" t="str">
        <f>IF(NbSENC&gt;=5,ISBLANK(B359),"")</f>
        <v/>
      </c>
    </row>
    <row r="360" spans="1:4" hidden="1" x14ac:dyDescent="0.45">
      <c r="A360" s="70" t="str">
        <f>Traduction!C147</f>
        <v>Je joins une copie des états financiers (obligatoire)</v>
      </c>
      <c r="B360" s="138"/>
      <c r="C360" s="139"/>
      <c r="D360" s="72" t="str">
        <f>IF(NbSENC&gt;=5,ISBLANK(B360),"")</f>
        <v/>
      </c>
    </row>
    <row r="361" spans="1:4" hidden="1" x14ac:dyDescent="0.45">
      <c r="A361" s="145" t="str">
        <f>Traduction!C142</f>
        <v>S.E.N.C. 6</v>
      </c>
      <c r="B361" s="146"/>
      <c r="C361" s="147"/>
    </row>
    <row r="362" spans="1:4" hidden="1" x14ac:dyDescent="0.45">
      <c r="A362" s="70" t="str">
        <f>Traduction!C60</f>
        <v>Nom</v>
      </c>
      <c r="B362" s="138"/>
      <c r="C362" s="139"/>
      <c r="D362" s="72" t="str">
        <f>IF(NbSENC&gt;=6,ISBLANK(B362),"")</f>
        <v/>
      </c>
    </row>
    <row r="363" spans="1:4" hidden="1" x14ac:dyDescent="0.45">
      <c r="A363" s="70" t="str">
        <f>Traduction!C147</f>
        <v>Je joins une copie des états financiers (obligatoire)</v>
      </c>
      <c r="B363" s="138"/>
      <c r="C363" s="139"/>
      <c r="D363" s="72" t="str">
        <f>IF(NbSENC&gt;=6,ISBLANK(B363),"")</f>
        <v/>
      </c>
    </row>
    <row r="364" spans="1:4" hidden="1" x14ac:dyDescent="0.45">
      <c r="A364" s="145" t="str">
        <f>Traduction!C143</f>
        <v>S.E.N.C. 7</v>
      </c>
      <c r="B364" s="146"/>
      <c r="C364" s="147"/>
    </row>
    <row r="365" spans="1:4" hidden="1" x14ac:dyDescent="0.45">
      <c r="A365" s="70" t="str">
        <f>Traduction!C60</f>
        <v>Nom</v>
      </c>
      <c r="B365" s="138"/>
      <c r="C365" s="139"/>
      <c r="D365" s="72" t="str">
        <f>IF(NbSENC&gt;=7,ISBLANK(B365),"")</f>
        <v/>
      </c>
    </row>
    <row r="366" spans="1:4" hidden="1" x14ac:dyDescent="0.45">
      <c r="A366" s="70" t="str">
        <f>Traduction!C147</f>
        <v>Je joins une copie des états financiers (obligatoire)</v>
      </c>
      <c r="B366" s="138"/>
      <c r="C366" s="139"/>
      <c r="D366" s="72" t="str">
        <f>IF(NbSENC&gt;=7,ISBLANK(B366),"")</f>
        <v/>
      </c>
    </row>
    <row r="367" spans="1:4" hidden="1" x14ac:dyDescent="0.45">
      <c r="A367" s="145" t="str">
        <f>Traduction!C144</f>
        <v>S.E.N.C. 8</v>
      </c>
      <c r="B367" s="146"/>
      <c r="C367" s="147"/>
    </row>
    <row r="368" spans="1:4" hidden="1" x14ac:dyDescent="0.45">
      <c r="A368" s="70" t="str">
        <f>Traduction!C60</f>
        <v>Nom</v>
      </c>
      <c r="B368" s="138"/>
      <c r="C368" s="139"/>
      <c r="D368" s="72" t="str">
        <f>IF(NbSENC&gt;=8,ISBLANK(B368),"")</f>
        <v/>
      </c>
    </row>
    <row r="369" spans="1:4" hidden="1" x14ac:dyDescent="0.45">
      <c r="A369" s="70" t="str">
        <f>Traduction!C147</f>
        <v>Je joins une copie des états financiers (obligatoire)</v>
      </c>
      <c r="B369" s="138"/>
      <c r="C369" s="139"/>
      <c r="D369" s="72" t="str">
        <f>IF(NbSENC&gt;=8,ISBLANK(B369),"")</f>
        <v/>
      </c>
    </row>
    <row r="370" spans="1:4" hidden="1" x14ac:dyDescent="0.45">
      <c r="A370" s="145" t="str">
        <f>Traduction!C145</f>
        <v>S.E.N.C. 9</v>
      </c>
      <c r="B370" s="146"/>
      <c r="C370" s="147"/>
    </row>
    <row r="371" spans="1:4" hidden="1" x14ac:dyDescent="0.45">
      <c r="A371" s="70" t="str">
        <f>Traduction!C60</f>
        <v>Nom</v>
      </c>
      <c r="B371" s="138"/>
      <c r="C371" s="139"/>
      <c r="D371" s="72" t="str">
        <f>IF(NbSENC&gt;=9,ISBLANK(B371),"")</f>
        <v/>
      </c>
    </row>
    <row r="372" spans="1:4" hidden="1" x14ac:dyDescent="0.45">
      <c r="A372" s="70" t="str">
        <f>Traduction!C147</f>
        <v>Je joins une copie des états financiers (obligatoire)</v>
      </c>
      <c r="B372" s="138"/>
      <c r="C372" s="139"/>
      <c r="D372" s="72" t="str">
        <f>IF(NbSENC&gt;=9,ISBLANK(B372),"")</f>
        <v/>
      </c>
    </row>
    <row r="373" spans="1:4" hidden="1" x14ac:dyDescent="0.45">
      <c r="A373" s="145" t="str">
        <f>Traduction!C146</f>
        <v>S.E.N.C. 10</v>
      </c>
      <c r="B373" s="146"/>
      <c r="C373" s="147"/>
    </row>
    <row r="374" spans="1:4" hidden="1" x14ac:dyDescent="0.45">
      <c r="A374" s="70" t="str">
        <f>Traduction!C60</f>
        <v>Nom</v>
      </c>
      <c r="B374" s="138"/>
      <c r="C374" s="139"/>
      <c r="D374" s="72" t="str">
        <f>IF(NbSENC&gt;=10,ISBLANK(B374),"")</f>
        <v/>
      </c>
    </row>
    <row r="375" spans="1:4" hidden="1" x14ac:dyDescent="0.45">
      <c r="A375" s="70" t="str">
        <f>Traduction!C147</f>
        <v>Je joins une copie des états financiers (obligatoire)</v>
      </c>
      <c r="B375" s="138"/>
      <c r="C375" s="139"/>
      <c r="D375" s="72" t="str">
        <f>IF(NbSENC&gt;=10,ISBLANK(B375),"")</f>
        <v/>
      </c>
    </row>
    <row r="376" spans="1:4" x14ac:dyDescent="0.45">
      <c r="A376" s="159" t="str">
        <f>Traduction!C148</f>
        <v>Immeuble(s) à revenus personnel</v>
      </c>
      <c r="B376" s="159"/>
      <c r="C376" s="159"/>
    </row>
    <row r="377" spans="1:4" x14ac:dyDescent="0.45">
      <c r="A377" s="162"/>
      <c r="B377" s="162"/>
      <c r="C377" s="162"/>
    </row>
    <row r="378" spans="1:4" x14ac:dyDescent="0.45">
      <c r="A378" s="145" t="str">
        <f>Traduction!C149</f>
        <v>Immeuble 1</v>
      </c>
      <c r="B378" s="146"/>
      <c r="C378" s="147"/>
    </row>
    <row r="379" spans="1:4" x14ac:dyDescent="0.45">
      <c r="A379" s="2" t="str">
        <f>Traduction!C159</f>
        <v>Je joins une copie de la déclaration de revenus fédérale contenant le feuillet T776</v>
      </c>
      <c r="B379" s="138" t="str">
        <f>IF(AND(NbImmeublesPerso&gt;=1,OR($B$24="Oui",$B$24="Yes",$C$24="Oui",$C$24="Yes")),"Oui","Non")</f>
        <v>Non</v>
      </c>
      <c r="C379" s="139"/>
      <c r="D379" t="b">
        <f t="shared" ref="D379:D391" si="24">IF(NbImmeublesPerso&gt;=1,(B379=""),"")</f>
        <v>0</v>
      </c>
    </row>
    <row r="380" spans="1:4" ht="14.65" thickBot="1" x14ac:dyDescent="0.5">
      <c r="A380" s="2" t="str">
        <f>Traduction!C160</f>
        <v>Nom ou adresse</v>
      </c>
      <c r="B380" s="171" t="str">
        <f>IF(OR(B379="Oui",B379="Yes"),Traduction!$C$327,"")</f>
        <v/>
      </c>
      <c r="C380" s="172"/>
      <c r="D380" t="b">
        <f t="shared" si="24"/>
        <v>1</v>
      </c>
    </row>
    <row r="381" spans="1:4" ht="15" thickTop="1" thickBot="1" x14ac:dyDescent="0.5">
      <c r="A381" s="2" t="str">
        <f>Traduction!C161</f>
        <v>Pourcentage détenu par le client ou le conjoint (%)</v>
      </c>
      <c r="B381" s="96" t="str">
        <f>IF(OR(B379="Oui",B379="Yes"),Traduction!$C$327,"")</f>
        <v/>
      </c>
      <c r="C381" s="96" t="str">
        <f>IF(OR(B379="Oui",B379="Yes"),Traduction!$C$327,"")</f>
        <v/>
      </c>
      <c r="D381" t="b">
        <f>IF((AND((B381=""),(C381=""),NbImmeublesPerso&gt;=1)),TRUE)</f>
        <v>1</v>
      </c>
    </row>
    <row r="382" spans="1:4" ht="14.65" thickTop="1" x14ac:dyDescent="0.45">
      <c r="A382" s="2" t="str">
        <f>Traduction!C162</f>
        <v>Valeur marchande bâtiment</v>
      </c>
      <c r="B382" s="158"/>
      <c r="C382" s="154"/>
      <c r="D382" t="b">
        <f t="shared" si="24"/>
        <v>1</v>
      </c>
    </row>
    <row r="383" spans="1:4" x14ac:dyDescent="0.45">
      <c r="A383" s="2" t="str">
        <f>Traduction!C163</f>
        <v>Prix de base rajusté du bâtiment</v>
      </c>
      <c r="B383" s="158" t="str">
        <f>IF(OR(B379="Oui",B379="Yes"),Traduction!$C$327,"")</f>
        <v/>
      </c>
      <c r="C383" s="154"/>
      <c r="D383" t="b">
        <f t="shared" si="24"/>
        <v>1</v>
      </c>
    </row>
    <row r="384" spans="1:4" x14ac:dyDescent="0.45">
      <c r="A384" s="2" t="str">
        <f>Traduction!C164</f>
        <v>FNACC bâtiment</v>
      </c>
      <c r="B384" s="158" t="str">
        <f>IF(OR(B379="Oui",B379="Yes"),Traduction!$C$327,"")</f>
        <v/>
      </c>
      <c r="C384" s="154"/>
      <c r="D384" t="b">
        <f t="shared" si="24"/>
        <v>1</v>
      </c>
    </row>
    <row r="385" spans="1:4" x14ac:dyDescent="0.45">
      <c r="A385" s="2" t="str">
        <f>Traduction!C165</f>
        <v>Valeur marchande terrain</v>
      </c>
      <c r="B385" s="158"/>
      <c r="C385" s="154"/>
      <c r="D385" t="b">
        <f t="shared" si="24"/>
        <v>1</v>
      </c>
    </row>
    <row r="386" spans="1:4" x14ac:dyDescent="0.45">
      <c r="A386" s="2" t="str">
        <f>Traduction!C166</f>
        <v>Prix de base rajusté terrain</v>
      </c>
      <c r="B386" s="158" t="str">
        <f>IF(OR(B379="Oui",B379="Yes"),Traduction!$C$327,"")</f>
        <v/>
      </c>
      <c r="C386" s="154"/>
      <c r="D386" t="b">
        <f t="shared" si="24"/>
        <v>1</v>
      </c>
    </row>
    <row r="387" spans="1:4" x14ac:dyDescent="0.45">
      <c r="A387" s="2" t="str">
        <f>Traduction!C167</f>
        <v>Année de vente de l'immeuble</v>
      </c>
      <c r="B387" s="138"/>
      <c r="C387" s="139"/>
      <c r="D387" t="b">
        <f t="shared" si="24"/>
        <v>1</v>
      </c>
    </row>
    <row r="388" spans="1:4" x14ac:dyDescent="0.45">
      <c r="A388" s="2" t="str">
        <f>Traduction!C168</f>
        <v>Solde hypohécaire</v>
      </c>
      <c r="B388" s="148"/>
      <c r="C388" s="149"/>
      <c r="D388" t="b">
        <f t="shared" si="24"/>
        <v>1</v>
      </c>
    </row>
    <row r="389" spans="1:4" x14ac:dyDescent="0.45">
      <c r="A389" s="2" t="str">
        <f>Traduction!C169</f>
        <v>Date de fin du paiement hypothécaire (aaaa-mm-jj)</v>
      </c>
      <c r="B389" s="167"/>
      <c r="C389" s="139"/>
      <c r="D389" t="b">
        <f t="shared" si="24"/>
        <v>1</v>
      </c>
    </row>
    <row r="390" spans="1:4" x14ac:dyDescent="0.45">
      <c r="A390" s="2" t="str">
        <f>Traduction!C170</f>
        <v>Taux d'intérêt sur le prêt hypothécaire (%)</v>
      </c>
      <c r="B390" s="161"/>
      <c r="C390" s="152"/>
      <c r="D390" t="b">
        <f t="shared" si="24"/>
        <v>1</v>
      </c>
    </row>
    <row r="391" spans="1:4" x14ac:dyDescent="0.45">
      <c r="A391" s="2" t="str">
        <f>Traduction!C171</f>
        <v>Revenu de location net avant déduction des intérêts sur le prêt et avant amortissement</v>
      </c>
      <c r="B391" s="158" t="str">
        <f>IF(OR(B379="Oui",B379="Yes"),Traduction!$C$327,"")</f>
        <v/>
      </c>
      <c r="C391" s="154"/>
      <c r="D391" t="b">
        <f t="shared" si="24"/>
        <v>1</v>
      </c>
    </row>
    <row r="392" spans="1:4" hidden="1" x14ac:dyDescent="0.45">
      <c r="A392" s="145" t="str">
        <f>Traduction!C150</f>
        <v>Immeuble 2</v>
      </c>
      <c r="B392" s="146"/>
      <c r="C392" s="147"/>
    </row>
    <row r="393" spans="1:4" hidden="1" x14ac:dyDescent="0.45">
      <c r="A393" s="2" t="str">
        <f>Traduction!C159</f>
        <v>Je joins une copie de la déclaration de revenus fédérale contenant le feuillet T776</v>
      </c>
      <c r="B393" s="138" t="str">
        <f>IF(AND(NbImmeublesPerso&gt;=2,OR($B$24="Oui",$B$24="Yes",$C$24="Oui",$C$24="Yes")),"Oui","Non")</f>
        <v>Non</v>
      </c>
      <c r="C393" s="139"/>
      <c r="D393" t="str">
        <f t="shared" ref="D393:D405" si="25">IF(NbImmeublesPerso&gt;=2,(B393=""),"")</f>
        <v/>
      </c>
    </row>
    <row r="394" spans="1:4" ht="14.65" hidden="1" thickBot="1" x14ac:dyDescent="0.5">
      <c r="A394" s="2" t="str">
        <f>Traduction!C160</f>
        <v>Nom ou adresse</v>
      </c>
      <c r="B394" s="171" t="str">
        <f>IF(OR(B393="Oui",B393="Yes"),Traduction!$C$327,"")</f>
        <v/>
      </c>
      <c r="C394" s="172"/>
      <c r="D394" t="str">
        <f t="shared" si="25"/>
        <v/>
      </c>
    </row>
    <row r="395" spans="1:4" ht="15" hidden="1" thickTop="1" thickBot="1" x14ac:dyDescent="0.5">
      <c r="A395" s="2" t="str">
        <f>Traduction!C161</f>
        <v>Pourcentage détenu par le client ou le conjoint (%)</v>
      </c>
      <c r="B395" s="96" t="str">
        <f>IF(OR(B393="Oui",B393="Yes"),Traduction!$C$327,"")</f>
        <v/>
      </c>
      <c r="C395" s="96" t="str">
        <f>IF(OR(B393="Oui",B393="Yes"),Traduction!$C$327,"")</f>
        <v/>
      </c>
      <c r="D395" t="b">
        <f>IF((AND((B395=""),(C395=""),NbImmeublesPerso&gt;=2)),TRUE)</f>
        <v>0</v>
      </c>
    </row>
    <row r="396" spans="1:4" ht="14.65" hidden="1" thickTop="1" x14ac:dyDescent="0.45">
      <c r="A396" s="2" t="str">
        <f>Traduction!C162</f>
        <v>Valeur marchande bâtiment</v>
      </c>
      <c r="B396" s="158"/>
      <c r="C396" s="154"/>
      <c r="D396" t="str">
        <f t="shared" si="25"/>
        <v/>
      </c>
    </row>
    <row r="397" spans="1:4" hidden="1" x14ac:dyDescent="0.45">
      <c r="A397" s="2" t="str">
        <f>Traduction!C163</f>
        <v>Prix de base rajusté du bâtiment</v>
      </c>
      <c r="B397" s="158" t="str">
        <f>IF(OR(B393="Oui",B393="Yes"),Traduction!$C$327,"")</f>
        <v/>
      </c>
      <c r="C397" s="154"/>
      <c r="D397" t="str">
        <f t="shared" si="25"/>
        <v/>
      </c>
    </row>
    <row r="398" spans="1:4" hidden="1" x14ac:dyDescent="0.45">
      <c r="A398" s="2" t="str">
        <f>Traduction!C164</f>
        <v>FNACC bâtiment</v>
      </c>
      <c r="B398" s="158" t="str">
        <f>IF(OR(B393="Oui",B393="Yes"),Traduction!$C$327,"")</f>
        <v/>
      </c>
      <c r="C398" s="154"/>
      <c r="D398" t="str">
        <f t="shared" si="25"/>
        <v/>
      </c>
    </row>
    <row r="399" spans="1:4" hidden="1" x14ac:dyDescent="0.45">
      <c r="A399" s="2" t="str">
        <f>Traduction!C165</f>
        <v>Valeur marchande terrain</v>
      </c>
      <c r="B399" s="158"/>
      <c r="C399" s="154"/>
      <c r="D399" t="str">
        <f t="shared" si="25"/>
        <v/>
      </c>
    </row>
    <row r="400" spans="1:4" hidden="1" x14ac:dyDescent="0.45">
      <c r="A400" s="2" t="str">
        <f>Traduction!C166</f>
        <v>Prix de base rajusté terrain</v>
      </c>
      <c r="B400" s="158" t="str">
        <f>IF(OR(B393="Oui",B393="Yes"),Traduction!$C$327,"")</f>
        <v/>
      </c>
      <c r="C400" s="154"/>
      <c r="D400" t="str">
        <f t="shared" si="25"/>
        <v/>
      </c>
    </row>
    <row r="401" spans="1:4" hidden="1" x14ac:dyDescent="0.45">
      <c r="A401" s="2" t="str">
        <f>Traduction!C167</f>
        <v>Année de vente de l'immeuble</v>
      </c>
      <c r="B401" s="138"/>
      <c r="C401" s="139"/>
      <c r="D401" t="str">
        <f t="shared" si="25"/>
        <v/>
      </c>
    </row>
    <row r="402" spans="1:4" hidden="1" x14ac:dyDescent="0.45">
      <c r="A402" s="2" t="str">
        <f>Traduction!C168</f>
        <v>Solde hypohécaire</v>
      </c>
      <c r="B402" s="148"/>
      <c r="C402" s="149"/>
      <c r="D402" t="str">
        <f t="shared" si="25"/>
        <v/>
      </c>
    </row>
    <row r="403" spans="1:4" hidden="1" x14ac:dyDescent="0.45">
      <c r="A403" s="2" t="str">
        <f>Traduction!C169</f>
        <v>Date de fin du paiement hypothécaire (aaaa-mm-jj)</v>
      </c>
      <c r="B403" s="167"/>
      <c r="C403" s="139"/>
      <c r="D403" t="str">
        <f t="shared" si="25"/>
        <v/>
      </c>
    </row>
    <row r="404" spans="1:4" hidden="1" x14ac:dyDescent="0.45">
      <c r="A404" s="2" t="str">
        <f>Traduction!C170</f>
        <v>Taux d'intérêt sur le prêt hypothécaire (%)</v>
      </c>
      <c r="B404" s="161"/>
      <c r="C404" s="152"/>
      <c r="D404" t="str">
        <f t="shared" si="25"/>
        <v/>
      </c>
    </row>
    <row r="405" spans="1:4" hidden="1" x14ac:dyDescent="0.45">
      <c r="A405" s="2" t="str">
        <f>Traduction!C171</f>
        <v>Revenu de location net avant déduction des intérêts sur le prêt et avant amortissement</v>
      </c>
      <c r="B405" s="158" t="str">
        <f>IF(OR(B393="Oui",B393="Yes"),Traduction!$C$327,"")</f>
        <v/>
      </c>
      <c r="C405" s="154"/>
      <c r="D405" t="str">
        <f t="shared" si="25"/>
        <v/>
      </c>
    </row>
    <row r="406" spans="1:4" hidden="1" x14ac:dyDescent="0.45">
      <c r="A406" s="145" t="str">
        <f>Traduction!C151</f>
        <v>Immeuble 3</v>
      </c>
      <c r="B406" s="146"/>
      <c r="C406" s="147"/>
    </row>
    <row r="407" spans="1:4" hidden="1" x14ac:dyDescent="0.45">
      <c r="A407" s="2" t="str">
        <f>Traduction!C159</f>
        <v>Je joins une copie de la déclaration de revenus fédérale contenant le feuillet T776</v>
      </c>
      <c r="B407" s="138" t="str">
        <f>IF(AND(NbImmeublesPerso&gt;=3,OR($B$24="Oui",$B$24="Yes",$C$24="Oui",$C$24="Yes")),"Oui","Non")</f>
        <v>Non</v>
      </c>
      <c r="C407" s="139"/>
      <c r="D407" t="str">
        <f>IF(NbImmeublesPerso&gt;=3,(B407=""),"")</f>
        <v/>
      </c>
    </row>
    <row r="408" spans="1:4" ht="14.65" hidden="1" thickBot="1" x14ac:dyDescent="0.5">
      <c r="A408" s="2" t="str">
        <f>Traduction!C160</f>
        <v>Nom ou adresse</v>
      </c>
      <c r="B408" s="171" t="str">
        <f>IF(OR(B407="Oui",B407="Yes"),Traduction!$C$327,"")</f>
        <v/>
      </c>
      <c r="C408" s="172"/>
      <c r="D408" t="str">
        <f>IF(NbImmeublesPerso&gt;=3,(B408=""),"")</f>
        <v/>
      </c>
    </row>
    <row r="409" spans="1:4" ht="15" hidden="1" thickTop="1" thickBot="1" x14ac:dyDescent="0.5">
      <c r="A409" s="2" t="str">
        <f>Traduction!C161</f>
        <v>Pourcentage détenu par le client ou le conjoint (%)</v>
      </c>
      <c r="B409" s="96" t="str">
        <f>IF(OR(B407="Oui",B407="Yes"),Traduction!$C$327,"")</f>
        <v/>
      </c>
      <c r="C409" s="96" t="str">
        <f>IF(OR(B407="Oui",B407="Yes"),Traduction!$C$327,"")</f>
        <v/>
      </c>
      <c r="D409" t="b">
        <f>IF((AND((B409=""),(C409=""),NbImmeublesPerso&gt;=3)),TRUE)</f>
        <v>0</v>
      </c>
    </row>
    <row r="410" spans="1:4" ht="14.65" hidden="1" thickTop="1" x14ac:dyDescent="0.45">
      <c r="A410" s="2" t="str">
        <f>Traduction!C162</f>
        <v>Valeur marchande bâtiment</v>
      </c>
      <c r="B410" s="158"/>
      <c r="C410" s="154"/>
      <c r="D410" t="str">
        <f t="shared" ref="D410:D411" si="26">IF(NbImmeublesPerso&gt;=3,(B410=""),"")</f>
        <v/>
      </c>
    </row>
    <row r="411" spans="1:4" hidden="1" x14ac:dyDescent="0.45">
      <c r="A411" s="2" t="str">
        <f>Traduction!C163</f>
        <v>Prix de base rajusté du bâtiment</v>
      </c>
      <c r="B411" s="158" t="str">
        <f>IF(OR(B407="Oui",B407="Yes"),Traduction!$C$327,"")</f>
        <v/>
      </c>
      <c r="C411" s="154"/>
      <c r="D411" t="str">
        <f t="shared" si="26"/>
        <v/>
      </c>
    </row>
    <row r="412" spans="1:4" hidden="1" x14ac:dyDescent="0.45">
      <c r="A412" s="2" t="str">
        <f>Traduction!C164</f>
        <v>FNACC bâtiment</v>
      </c>
      <c r="B412" s="158" t="str">
        <f>IF(OR(B407="Oui",B407="Yes"),Traduction!$C$327,"")</f>
        <v/>
      </c>
      <c r="C412" s="154"/>
      <c r="D412" t="str">
        <f t="shared" ref="D412:D419" si="27">IF(NbImmeublesPerso&gt;=3,(B412=""),"")</f>
        <v/>
      </c>
    </row>
    <row r="413" spans="1:4" hidden="1" x14ac:dyDescent="0.45">
      <c r="A413" s="2" t="str">
        <f>Traduction!C165</f>
        <v>Valeur marchande terrain</v>
      </c>
      <c r="B413" s="158"/>
      <c r="C413" s="154"/>
      <c r="D413" t="str">
        <f t="shared" si="27"/>
        <v/>
      </c>
    </row>
    <row r="414" spans="1:4" hidden="1" x14ac:dyDescent="0.45">
      <c r="A414" s="2" t="str">
        <f>Traduction!C166</f>
        <v>Prix de base rajusté terrain</v>
      </c>
      <c r="B414" s="158" t="str">
        <f>IF(OR(B407="Oui",B407="Yes"),Traduction!$C$327,"")</f>
        <v/>
      </c>
      <c r="C414" s="154"/>
      <c r="D414" t="str">
        <f t="shared" si="27"/>
        <v/>
      </c>
    </row>
    <row r="415" spans="1:4" hidden="1" x14ac:dyDescent="0.45">
      <c r="A415" s="2" t="str">
        <f>Traduction!C167</f>
        <v>Année de vente de l'immeuble</v>
      </c>
      <c r="B415" s="138"/>
      <c r="C415" s="139"/>
      <c r="D415" t="str">
        <f t="shared" si="27"/>
        <v/>
      </c>
    </row>
    <row r="416" spans="1:4" hidden="1" x14ac:dyDescent="0.45">
      <c r="A416" s="2" t="str">
        <f>Traduction!C168</f>
        <v>Solde hypohécaire</v>
      </c>
      <c r="B416" s="148"/>
      <c r="C416" s="149"/>
      <c r="D416" t="str">
        <f t="shared" si="27"/>
        <v/>
      </c>
    </row>
    <row r="417" spans="1:4" hidden="1" x14ac:dyDescent="0.45">
      <c r="A417" s="2" t="str">
        <f>Traduction!C169</f>
        <v>Date de fin du paiement hypothécaire (aaaa-mm-jj)</v>
      </c>
      <c r="B417" s="167"/>
      <c r="C417" s="139"/>
      <c r="D417" t="str">
        <f t="shared" si="27"/>
        <v/>
      </c>
    </row>
    <row r="418" spans="1:4" hidden="1" x14ac:dyDescent="0.45">
      <c r="A418" s="2" t="str">
        <f>Traduction!C170</f>
        <v>Taux d'intérêt sur le prêt hypothécaire (%)</v>
      </c>
      <c r="B418" s="161"/>
      <c r="C418" s="152"/>
      <c r="D418" t="str">
        <f t="shared" si="27"/>
        <v/>
      </c>
    </row>
    <row r="419" spans="1:4" hidden="1" x14ac:dyDescent="0.45">
      <c r="A419" s="2" t="str">
        <f>Traduction!C171</f>
        <v>Revenu de location net avant déduction des intérêts sur le prêt et avant amortissement</v>
      </c>
      <c r="B419" s="158" t="str">
        <f>IF(OR(B407="Oui",B407="Yes"),Traduction!$C$327,"")</f>
        <v/>
      </c>
      <c r="C419" s="154"/>
      <c r="D419" t="str">
        <f t="shared" si="27"/>
        <v/>
      </c>
    </row>
    <row r="420" spans="1:4" hidden="1" x14ac:dyDescent="0.45">
      <c r="A420" s="145" t="str">
        <f>Traduction!C152</f>
        <v>Immeuble 4</v>
      </c>
      <c r="B420" s="146"/>
      <c r="C420" s="147"/>
    </row>
    <row r="421" spans="1:4" hidden="1" x14ac:dyDescent="0.45">
      <c r="A421" s="2" t="str">
        <f>Traduction!C159</f>
        <v>Je joins une copie de la déclaration de revenus fédérale contenant le feuillet T776</v>
      </c>
      <c r="B421" s="138" t="str">
        <f>IF(AND(NbImmeublesPerso&gt;=4,OR($B$24="Oui",$B$24="Yes",$C$24="Oui",$C$24="Yes")),"Oui","Non")</f>
        <v>Non</v>
      </c>
      <c r="C421" s="139"/>
      <c r="D421" t="str">
        <f>IF(NbImmeublesPerso&gt;=4,(B421=""),"")</f>
        <v/>
      </c>
    </row>
    <row r="422" spans="1:4" ht="14.65" hidden="1" thickBot="1" x14ac:dyDescent="0.5">
      <c r="A422" s="2" t="str">
        <f>Traduction!C160</f>
        <v>Nom ou adresse</v>
      </c>
      <c r="B422" s="171" t="str">
        <f>IF(OR(B421="Oui",B421="Yes"),Traduction!$C$327,"")</f>
        <v/>
      </c>
      <c r="C422" s="172"/>
      <c r="D422" t="str">
        <f t="shared" ref="D422:D425" si="28">IF(NbImmeublesPerso&gt;=4,(B422=""),"")</f>
        <v/>
      </c>
    </row>
    <row r="423" spans="1:4" ht="15" hidden="1" thickTop="1" thickBot="1" x14ac:dyDescent="0.5">
      <c r="A423" s="2" t="str">
        <f>Traduction!C161</f>
        <v>Pourcentage détenu par le client ou le conjoint (%)</v>
      </c>
      <c r="B423" s="96" t="str">
        <f>IF(OR(B421="Oui",B421="Yes"),Traduction!$C$327,"")</f>
        <v/>
      </c>
      <c r="C423" s="96" t="str">
        <f>IF(OR(B421="Oui",B421="Yes"),Traduction!$C$327,"")</f>
        <v/>
      </c>
      <c r="D423" t="b">
        <f>IF((AND((B423=""),(C423=""),NbImmeublesPerso&gt;=4)),TRUE)</f>
        <v>0</v>
      </c>
    </row>
    <row r="424" spans="1:4" ht="14.65" hidden="1" thickTop="1" x14ac:dyDescent="0.45">
      <c r="A424" s="2" t="str">
        <f>Traduction!C162</f>
        <v>Valeur marchande bâtiment</v>
      </c>
      <c r="B424" s="158"/>
      <c r="C424" s="154"/>
      <c r="D424" t="str">
        <f t="shared" si="28"/>
        <v/>
      </c>
    </row>
    <row r="425" spans="1:4" hidden="1" x14ac:dyDescent="0.45">
      <c r="A425" s="2" t="str">
        <f>Traduction!C163</f>
        <v>Prix de base rajusté du bâtiment</v>
      </c>
      <c r="B425" s="158" t="str">
        <f>IF(OR(B421="Oui",B421="Yes"),Traduction!$C$327,"")</f>
        <v/>
      </c>
      <c r="C425" s="154"/>
      <c r="D425" t="str">
        <f t="shared" si="28"/>
        <v/>
      </c>
    </row>
    <row r="426" spans="1:4" hidden="1" x14ac:dyDescent="0.45">
      <c r="A426" s="2" t="str">
        <f>Traduction!C164</f>
        <v>FNACC bâtiment</v>
      </c>
      <c r="B426" s="158" t="str">
        <f>IF(OR(B421="Oui",B421="Yes"),Traduction!$C$327,"")</f>
        <v/>
      </c>
      <c r="C426" s="154"/>
      <c r="D426" t="str">
        <f t="shared" ref="D426:D433" si="29">IF(NbImmeublesPerso&gt;=4,(B426=""),"")</f>
        <v/>
      </c>
    </row>
    <row r="427" spans="1:4" hidden="1" x14ac:dyDescent="0.45">
      <c r="A427" s="2" t="str">
        <f>Traduction!C165</f>
        <v>Valeur marchande terrain</v>
      </c>
      <c r="B427" s="158"/>
      <c r="C427" s="154"/>
      <c r="D427" t="str">
        <f t="shared" si="29"/>
        <v/>
      </c>
    </row>
    <row r="428" spans="1:4" hidden="1" x14ac:dyDescent="0.45">
      <c r="A428" s="2" t="str">
        <f>Traduction!C166</f>
        <v>Prix de base rajusté terrain</v>
      </c>
      <c r="B428" s="158" t="str">
        <f>IF(OR(B421="Oui",B421="Yes"),Traduction!$C$327,"")</f>
        <v/>
      </c>
      <c r="C428" s="154"/>
      <c r="D428" t="str">
        <f t="shared" si="29"/>
        <v/>
      </c>
    </row>
    <row r="429" spans="1:4" hidden="1" x14ac:dyDescent="0.45">
      <c r="A429" s="2" t="str">
        <f>Traduction!C167</f>
        <v>Année de vente de l'immeuble</v>
      </c>
      <c r="B429" s="138"/>
      <c r="C429" s="139"/>
      <c r="D429" t="str">
        <f t="shared" si="29"/>
        <v/>
      </c>
    </row>
    <row r="430" spans="1:4" hidden="1" x14ac:dyDescent="0.45">
      <c r="A430" s="2" t="str">
        <f>Traduction!C168</f>
        <v>Solde hypohécaire</v>
      </c>
      <c r="B430" s="148"/>
      <c r="C430" s="149"/>
      <c r="D430" t="str">
        <f t="shared" si="29"/>
        <v/>
      </c>
    </row>
    <row r="431" spans="1:4" hidden="1" x14ac:dyDescent="0.45">
      <c r="A431" s="2" t="str">
        <f>Traduction!C169</f>
        <v>Date de fin du paiement hypothécaire (aaaa-mm-jj)</v>
      </c>
      <c r="B431" s="167"/>
      <c r="C431" s="139"/>
      <c r="D431" t="str">
        <f t="shared" si="29"/>
        <v/>
      </c>
    </row>
    <row r="432" spans="1:4" hidden="1" x14ac:dyDescent="0.45">
      <c r="A432" s="2" t="str">
        <f>Traduction!C170</f>
        <v>Taux d'intérêt sur le prêt hypothécaire (%)</v>
      </c>
      <c r="B432" s="161"/>
      <c r="C432" s="152"/>
      <c r="D432" t="str">
        <f t="shared" si="29"/>
        <v/>
      </c>
    </row>
    <row r="433" spans="1:4" hidden="1" x14ac:dyDescent="0.45">
      <c r="A433" s="2" t="str">
        <f>Traduction!C171</f>
        <v>Revenu de location net avant déduction des intérêts sur le prêt et avant amortissement</v>
      </c>
      <c r="B433" s="158" t="str">
        <f>IF(OR(B421="Oui",B421="Yes"),Traduction!$C$327,"")</f>
        <v/>
      </c>
      <c r="C433" s="154"/>
      <c r="D433" t="str">
        <f t="shared" si="29"/>
        <v/>
      </c>
    </row>
    <row r="434" spans="1:4" hidden="1" x14ac:dyDescent="0.45">
      <c r="A434" s="145" t="str">
        <f>Traduction!C153</f>
        <v>Immeuble 5</v>
      </c>
      <c r="B434" s="146"/>
      <c r="C434" s="147"/>
    </row>
    <row r="435" spans="1:4" hidden="1" x14ac:dyDescent="0.45">
      <c r="A435" s="2" t="str">
        <f>Traduction!C159</f>
        <v>Je joins une copie de la déclaration de revenus fédérale contenant le feuillet T776</v>
      </c>
      <c r="B435" s="138" t="str">
        <f>IF(AND(NbImmeublesPerso&gt;=5,OR($B$24="Oui",$B$24="Yes",$C$24="Oui",$C$24="Yes")),"Oui","Non")</f>
        <v>Non</v>
      </c>
      <c r="C435" s="139"/>
      <c r="D435" t="str">
        <f t="shared" ref="D435:D439" si="30">IF(NbImmeublesPerso&gt;=5,(B435=""),"")</f>
        <v/>
      </c>
    </row>
    <row r="436" spans="1:4" ht="14.65" hidden="1" thickBot="1" x14ac:dyDescent="0.5">
      <c r="A436" s="2" t="str">
        <f>Traduction!C160</f>
        <v>Nom ou adresse</v>
      </c>
      <c r="B436" s="171" t="str">
        <f>IF(OR(B435="Oui",B435="Yes"),Traduction!$C$327,"")</f>
        <v/>
      </c>
      <c r="C436" s="172"/>
      <c r="D436" t="str">
        <f t="shared" si="30"/>
        <v/>
      </c>
    </row>
    <row r="437" spans="1:4" ht="15" hidden="1" thickTop="1" thickBot="1" x14ac:dyDescent="0.5">
      <c r="A437" s="2" t="str">
        <f>Traduction!C161</f>
        <v>Pourcentage détenu par le client ou le conjoint (%)</v>
      </c>
      <c r="B437" s="96" t="str">
        <f>IF(OR(B435="Oui",B435="Yes"),Traduction!$C$327,"")</f>
        <v/>
      </c>
      <c r="C437" s="96" t="str">
        <f>IF(OR(B435="Oui",B435="Yes"),Traduction!$C$327,"")</f>
        <v/>
      </c>
      <c r="D437" t="b">
        <f>IF((AND((B437=""),(C437=""),NbImmeublesPerso&gt;=5)),TRUE)</f>
        <v>0</v>
      </c>
    </row>
    <row r="438" spans="1:4" ht="14.65" hidden="1" thickTop="1" x14ac:dyDescent="0.45">
      <c r="A438" s="2" t="str">
        <f>Traduction!C162</f>
        <v>Valeur marchande bâtiment</v>
      </c>
      <c r="B438" s="158"/>
      <c r="C438" s="154"/>
      <c r="D438" t="str">
        <f t="shared" si="30"/>
        <v/>
      </c>
    </row>
    <row r="439" spans="1:4" hidden="1" x14ac:dyDescent="0.45">
      <c r="A439" s="2" t="str">
        <f>Traduction!C163</f>
        <v>Prix de base rajusté du bâtiment</v>
      </c>
      <c r="B439" s="158" t="str">
        <f>IF(OR(B435="Oui",B435="Yes"),Traduction!$C$327,"")</f>
        <v/>
      </c>
      <c r="C439" s="154"/>
      <c r="D439" t="str">
        <f t="shared" si="30"/>
        <v/>
      </c>
    </row>
    <row r="440" spans="1:4" hidden="1" x14ac:dyDescent="0.45">
      <c r="A440" s="2" t="str">
        <f>Traduction!C164</f>
        <v>FNACC bâtiment</v>
      </c>
      <c r="B440" s="158" t="str">
        <f>IF(OR(B435="Oui",B435="Yes"),Traduction!$C$327,"")</f>
        <v/>
      </c>
      <c r="C440" s="154"/>
      <c r="D440" t="str">
        <f t="shared" ref="D440:D447" si="31">IF(NbImmeublesPerso&gt;=5,(B440=""),"")</f>
        <v/>
      </c>
    </row>
    <row r="441" spans="1:4" hidden="1" x14ac:dyDescent="0.45">
      <c r="A441" s="2" t="str">
        <f>Traduction!C165</f>
        <v>Valeur marchande terrain</v>
      </c>
      <c r="B441" s="158"/>
      <c r="C441" s="154"/>
      <c r="D441" t="str">
        <f t="shared" si="31"/>
        <v/>
      </c>
    </row>
    <row r="442" spans="1:4" hidden="1" x14ac:dyDescent="0.45">
      <c r="A442" s="2" t="str">
        <f>Traduction!C166</f>
        <v>Prix de base rajusté terrain</v>
      </c>
      <c r="B442" s="158" t="str">
        <f>IF(OR(B435="Oui",B435="Yes"),Traduction!$C$327,"")</f>
        <v/>
      </c>
      <c r="C442" s="154"/>
      <c r="D442" t="str">
        <f t="shared" si="31"/>
        <v/>
      </c>
    </row>
    <row r="443" spans="1:4" hidden="1" x14ac:dyDescent="0.45">
      <c r="A443" s="2" t="str">
        <f>Traduction!C167</f>
        <v>Année de vente de l'immeuble</v>
      </c>
      <c r="B443" s="138"/>
      <c r="C443" s="139"/>
      <c r="D443" t="str">
        <f t="shared" si="31"/>
        <v/>
      </c>
    </row>
    <row r="444" spans="1:4" hidden="1" x14ac:dyDescent="0.45">
      <c r="A444" s="2" t="str">
        <f>Traduction!C168</f>
        <v>Solde hypohécaire</v>
      </c>
      <c r="B444" s="148"/>
      <c r="C444" s="149"/>
      <c r="D444" t="str">
        <f t="shared" si="31"/>
        <v/>
      </c>
    </row>
    <row r="445" spans="1:4" hidden="1" x14ac:dyDescent="0.45">
      <c r="A445" s="2" t="str">
        <f>Traduction!C169</f>
        <v>Date de fin du paiement hypothécaire (aaaa-mm-jj)</v>
      </c>
      <c r="B445" s="167"/>
      <c r="C445" s="139"/>
      <c r="D445" t="str">
        <f t="shared" si="31"/>
        <v/>
      </c>
    </row>
    <row r="446" spans="1:4" hidden="1" x14ac:dyDescent="0.45">
      <c r="A446" s="2" t="str">
        <f>Traduction!C170</f>
        <v>Taux d'intérêt sur le prêt hypothécaire (%)</v>
      </c>
      <c r="B446" s="161"/>
      <c r="C446" s="152"/>
      <c r="D446" t="str">
        <f t="shared" si="31"/>
        <v/>
      </c>
    </row>
    <row r="447" spans="1:4" hidden="1" x14ac:dyDescent="0.45">
      <c r="A447" s="2" t="str">
        <f>Traduction!C171</f>
        <v>Revenu de location net avant déduction des intérêts sur le prêt et avant amortissement</v>
      </c>
      <c r="B447" s="158" t="str">
        <f>IF(OR(B435="Oui",B435="Yes"),Traduction!$C$327,"")</f>
        <v/>
      </c>
      <c r="C447" s="154"/>
      <c r="D447" t="str">
        <f t="shared" si="31"/>
        <v/>
      </c>
    </row>
    <row r="448" spans="1:4" hidden="1" x14ac:dyDescent="0.45">
      <c r="A448" s="145" t="str">
        <f>Traduction!C154</f>
        <v>Immeuble 6</v>
      </c>
      <c r="B448" s="146"/>
      <c r="C448" s="147"/>
    </row>
    <row r="449" spans="1:4" hidden="1" x14ac:dyDescent="0.45">
      <c r="A449" s="2" t="str">
        <f>Traduction!C159</f>
        <v>Je joins une copie de la déclaration de revenus fédérale contenant le feuillet T776</v>
      </c>
      <c r="B449" s="138" t="str">
        <f>IF(AND(NbImmeublesPerso&gt;=6,OR($B$24="Oui",$B$24="Yes",$C$24="Oui",$C$24="Yes")),"Oui","Non")</f>
        <v>Non</v>
      </c>
      <c r="C449" s="139"/>
      <c r="D449" t="str">
        <f>IF(NbImmeublesPerso&gt;=6,(B449=""),"")</f>
        <v/>
      </c>
    </row>
    <row r="450" spans="1:4" ht="14.65" hidden="1" thickBot="1" x14ac:dyDescent="0.5">
      <c r="A450" s="2" t="str">
        <f>Traduction!C160</f>
        <v>Nom ou adresse</v>
      </c>
      <c r="B450" s="171" t="str">
        <f>IF(OR(B449="Oui",B449="Yes"),Traduction!$C$327,"")</f>
        <v/>
      </c>
      <c r="C450" s="172"/>
      <c r="D450" t="str">
        <f t="shared" ref="D450:D453" si="32">IF(NbImmeublesPerso&gt;=6,(B450=""),"")</f>
        <v/>
      </c>
    </row>
    <row r="451" spans="1:4" ht="15" hidden="1" thickTop="1" thickBot="1" x14ac:dyDescent="0.5">
      <c r="A451" s="2" t="str">
        <f>Traduction!C161</f>
        <v>Pourcentage détenu par le client ou le conjoint (%)</v>
      </c>
      <c r="B451" s="96" t="str">
        <f>IF(OR(B449="Oui",B449="Yes"),Traduction!$C$327,"")</f>
        <v/>
      </c>
      <c r="C451" s="96" t="str">
        <f>IF(OR(B449="Oui",B449="Yes"),Traduction!$C$327,"")</f>
        <v/>
      </c>
      <c r="D451" t="b">
        <f>IF((AND((B451=""),(C451=""),NbImmeublesPerso&gt;=6)),TRUE)</f>
        <v>0</v>
      </c>
    </row>
    <row r="452" spans="1:4" ht="14.65" hidden="1" thickTop="1" x14ac:dyDescent="0.45">
      <c r="A452" s="2" t="str">
        <f>Traduction!C162</f>
        <v>Valeur marchande bâtiment</v>
      </c>
      <c r="B452" s="158"/>
      <c r="C452" s="154"/>
      <c r="D452" t="str">
        <f t="shared" si="32"/>
        <v/>
      </c>
    </row>
    <row r="453" spans="1:4" hidden="1" x14ac:dyDescent="0.45">
      <c r="A453" s="2" t="str">
        <f>Traduction!C163</f>
        <v>Prix de base rajusté du bâtiment</v>
      </c>
      <c r="B453" s="158" t="str">
        <f>IF(OR(B449="Oui",B449="Yes"),Traduction!$C$327,"")</f>
        <v/>
      </c>
      <c r="C453" s="154"/>
      <c r="D453" t="str">
        <f t="shared" si="32"/>
        <v/>
      </c>
    </row>
    <row r="454" spans="1:4" hidden="1" x14ac:dyDescent="0.45">
      <c r="A454" s="2" t="str">
        <f>Traduction!C164</f>
        <v>FNACC bâtiment</v>
      </c>
      <c r="B454" s="158" t="str">
        <f>IF(OR(B449="Oui",B449="Yes"),Traduction!$C$327,"")</f>
        <v/>
      </c>
      <c r="C454" s="154"/>
      <c r="D454" t="str">
        <f t="shared" ref="D454:D461" si="33">IF(NbImmeublesPerso&gt;=6,(B454=""),"")</f>
        <v/>
      </c>
    </row>
    <row r="455" spans="1:4" hidden="1" x14ac:dyDescent="0.45">
      <c r="A455" s="2" t="str">
        <f>Traduction!C165</f>
        <v>Valeur marchande terrain</v>
      </c>
      <c r="B455" s="158"/>
      <c r="C455" s="154"/>
      <c r="D455" t="str">
        <f t="shared" si="33"/>
        <v/>
      </c>
    </row>
    <row r="456" spans="1:4" hidden="1" x14ac:dyDescent="0.45">
      <c r="A456" s="2" t="str">
        <f>Traduction!C166</f>
        <v>Prix de base rajusté terrain</v>
      </c>
      <c r="B456" s="158" t="str">
        <f>IF(OR(B449="Oui",B449="Yes"),Traduction!$C$327,"")</f>
        <v/>
      </c>
      <c r="C456" s="154"/>
      <c r="D456" t="str">
        <f t="shared" si="33"/>
        <v/>
      </c>
    </row>
    <row r="457" spans="1:4" hidden="1" x14ac:dyDescent="0.45">
      <c r="A457" s="2" t="str">
        <f>Traduction!C167</f>
        <v>Année de vente de l'immeuble</v>
      </c>
      <c r="B457" s="138"/>
      <c r="C457" s="139"/>
      <c r="D457" t="str">
        <f t="shared" si="33"/>
        <v/>
      </c>
    </row>
    <row r="458" spans="1:4" hidden="1" x14ac:dyDescent="0.45">
      <c r="A458" s="2" t="str">
        <f>Traduction!C168</f>
        <v>Solde hypohécaire</v>
      </c>
      <c r="B458" s="148"/>
      <c r="C458" s="149"/>
      <c r="D458" t="str">
        <f t="shared" si="33"/>
        <v/>
      </c>
    </row>
    <row r="459" spans="1:4" hidden="1" x14ac:dyDescent="0.45">
      <c r="A459" s="2" t="str">
        <f>Traduction!C169</f>
        <v>Date de fin du paiement hypothécaire (aaaa-mm-jj)</v>
      </c>
      <c r="B459" s="167"/>
      <c r="C459" s="139"/>
      <c r="D459" t="str">
        <f t="shared" si="33"/>
        <v/>
      </c>
    </row>
    <row r="460" spans="1:4" hidden="1" x14ac:dyDescent="0.45">
      <c r="A460" s="2" t="str">
        <f>Traduction!C170</f>
        <v>Taux d'intérêt sur le prêt hypothécaire (%)</v>
      </c>
      <c r="B460" s="161"/>
      <c r="C460" s="152"/>
      <c r="D460" t="str">
        <f t="shared" si="33"/>
        <v/>
      </c>
    </row>
    <row r="461" spans="1:4" hidden="1" x14ac:dyDescent="0.45">
      <c r="A461" s="2" t="str">
        <f>Traduction!C171</f>
        <v>Revenu de location net avant déduction des intérêts sur le prêt et avant amortissement</v>
      </c>
      <c r="B461" s="158" t="str">
        <f>IF(OR(B449="Oui",B449="Yes"),Traduction!$C$327,"")</f>
        <v/>
      </c>
      <c r="C461" s="154"/>
      <c r="D461" t="str">
        <f t="shared" si="33"/>
        <v/>
      </c>
    </row>
    <row r="462" spans="1:4" hidden="1" x14ac:dyDescent="0.45">
      <c r="A462" s="145" t="str">
        <f>Traduction!C155</f>
        <v>Immeuble 7</v>
      </c>
      <c r="B462" s="146"/>
      <c r="C462" s="147"/>
    </row>
    <row r="463" spans="1:4" hidden="1" x14ac:dyDescent="0.45">
      <c r="A463" s="2" t="str">
        <f>Traduction!C159</f>
        <v>Je joins une copie de la déclaration de revenus fédérale contenant le feuillet T776</v>
      </c>
      <c r="B463" s="138" t="str">
        <f>IF(AND(NbImmeublesPerso&gt;=7,OR($B$24="Oui",$B$24="Yes",$C$24="Oui",$C$24="Yes")),"Oui","Non")</f>
        <v>Non</v>
      </c>
      <c r="C463" s="139"/>
      <c r="D463" t="str">
        <f>IF(NbImmeublesPerso&gt;=7,(B463=""),"")</f>
        <v/>
      </c>
    </row>
    <row r="464" spans="1:4" ht="14.65" hidden="1" thickBot="1" x14ac:dyDescent="0.5">
      <c r="A464" s="2" t="str">
        <f>Traduction!C160</f>
        <v>Nom ou adresse</v>
      </c>
      <c r="B464" s="171" t="str">
        <f>IF(OR(B463="Oui",B463="Yes"),Traduction!$C$327,"")</f>
        <v/>
      </c>
      <c r="C464" s="172"/>
      <c r="D464" t="str">
        <f t="shared" ref="D464:D467" si="34">IF(NbImmeublesPerso&gt;=7,(B464=""),"")</f>
        <v/>
      </c>
    </row>
    <row r="465" spans="1:4" ht="15" hidden="1" thickTop="1" thickBot="1" x14ac:dyDescent="0.5">
      <c r="A465" s="2" t="str">
        <f>Traduction!C161</f>
        <v>Pourcentage détenu par le client ou le conjoint (%)</v>
      </c>
      <c r="B465" s="96"/>
      <c r="C465" s="96"/>
      <c r="D465" t="b">
        <f>IF((AND((B465=""),(C465=""),NbImmeublesPerso&gt;=7)),TRUE)</f>
        <v>0</v>
      </c>
    </row>
    <row r="466" spans="1:4" ht="14.65" hidden="1" thickTop="1" x14ac:dyDescent="0.45">
      <c r="A466" s="2" t="str">
        <f>Traduction!C162</f>
        <v>Valeur marchande bâtiment</v>
      </c>
      <c r="B466" s="158"/>
      <c r="C466" s="154"/>
      <c r="D466" t="str">
        <f t="shared" si="34"/>
        <v/>
      </c>
    </row>
    <row r="467" spans="1:4" hidden="1" x14ac:dyDescent="0.45">
      <c r="A467" s="2" t="str">
        <f>Traduction!C163</f>
        <v>Prix de base rajusté du bâtiment</v>
      </c>
      <c r="B467" s="158" t="str">
        <f>IF(OR(B463="Oui",B463="Yes"),Traduction!$C$327,"")</f>
        <v/>
      </c>
      <c r="C467" s="154"/>
      <c r="D467" t="str">
        <f t="shared" si="34"/>
        <v/>
      </c>
    </row>
    <row r="468" spans="1:4" hidden="1" x14ac:dyDescent="0.45">
      <c r="A468" s="2" t="str">
        <f>Traduction!C164</f>
        <v>FNACC bâtiment</v>
      </c>
      <c r="B468" s="158" t="str">
        <f>IF(OR(B463="Oui",B463="Yes"),Traduction!$C$327,"")</f>
        <v/>
      </c>
      <c r="C468" s="154"/>
      <c r="D468" t="str">
        <f t="shared" ref="D468:D475" si="35">IF(NbImmeublesPerso&gt;=7,(B468=""),"")</f>
        <v/>
      </c>
    </row>
    <row r="469" spans="1:4" hidden="1" x14ac:dyDescent="0.45">
      <c r="A469" s="2" t="str">
        <f>Traduction!C165</f>
        <v>Valeur marchande terrain</v>
      </c>
      <c r="B469" s="158"/>
      <c r="C469" s="154"/>
      <c r="D469" t="str">
        <f t="shared" si="35"/>
        <v/>
      </c>
    </row>
    <row r="470" spans="1:4" hidden="1" x14ac:dyDescent="0.45">
      <c r="A470" s="2" t="str">
        <f>Traduction!C166</f>
        <v>Prix de base rajusté terrain</v>
      </c>
      <c r="B470" s="158" t="str">
        <f>IF(OR(B463="Oui",B463="Yes"),Traduction!$C$327,"")</f>
        <v/>
      </c>
      <c r="C470" s="154"/>
      <c r="D470" t="str">
        <f t="shared" si="35"/>
        <v/>
      </c>
    </row>
    <row r="471" spans="1:4" hidden="1" x14ac:dyDescent="0.45">
      <c r="A471" s="2" t="str">
        <f>Traduction!C167</f>
        <v>Année de vente de l'immeuble</v>
      </c>
      <c r="B471" s="138"/>
      <c r="C471" s="139"/>
      <c r="D471" t="str">
        <f t="shared" si="35"/>
        <v/>
      </c>
    </row>
    <row r="472" spans="1:4" hidden="1" x14ac:dyDescent="0.45">
      <c r="A472" s="2" t="str">
        <f>Traduction!C168</f>
        <v>Solde hypohécaire</v>
      </c>
      <c r="B472" s="148"/>
      <c r="C472" s="149"/>
      <c r="D472" t="str">
        <f t="shared" si="35"/>
        <v/>
      </c>
    </row>
    <row r="473" spans="1:4" hidden="1" x14ac:dyDescent="0.45">
      <c r="A473" s="2" t="str">
        <f>Traduction!C169</f>
        <v>Date de fin du paiement hypothécaire (aaaa-mm-jj)</v>
      </c>
      <c r="B473" s="167"/>
      <c r="C473" s="139"/>
      <c r="D473" t="str">
        <f t="shared" si="35"/>
        <v/>
      </c>
    </row>
    <row r="474" spans="1:4" hidden="1" x14ac:dyDescent="0.45">
      <c r="A474" s="2" t="str">
        <f>Traduction!C170</f>
        <v>Taux d'intérêt sur le prêt hypothécaire (%)</v>
      </c>
      <c r="B474" s="161"/>
      <c r="C474" s="152"/>
      <c r="D474" t="str">
        <f t="shared" si="35"/>
        <v/>
      </c>
    </row>
    <row r="475" spans="1:4" hidden="1" x14ac:dyDescent="0.45">
      <c r="A475" s="2" t="str">
        <f>Traduction!C171</f>
        <v>Revenu de location net avant déduction des intérêts sur le prêt et avant amortissement</v>
      </c>
      <c r="B475" s="158" t="str">
        <f>IF(OR(B463="Oui",B463="Yes"),Traduction!$C$327,"")</f>
        <v/>
      </c>
      <c r="C475" s="154"/>
      <c r="D475" t="str">
        <f t="shared" si="35"/>
        <v/>
      </c>
    </row>
    <row r="476" spans="1:4" hidden="1" x14ac:dyDescent="0.45">
      <c r="A476" s="145" t="str">
        <f>Traduction!C156</f>
        <v>Immeuble 8</v>
      </c>
      <c r="B476" s="146"/>
      <c r="C476" s="147"/>
    </row>
    <row r="477" spans="1:4" hidden="1" x14ac:dyDescent="0.45">
      <c r="A477" s="2" t="str">
        <f>Traduction!C159</f>
        <v>Je joins une copie de la déclaration de revenus fédérale contenant le feuillet T776</v>
      </c>
      <c r="B477" s="138" t="str">
        <f>IF(AND(NbImmeublesPerso&gt;=8,OR($B$24="Oui",$B$24="Yes",$C$24="Oui",$C$24="Yes")),"Oui","Non")</f>
        <v>Non</v>
      </c>
      <c r="C477" s="139"/>
      <c r="D477" t="str">
        <f>IF(NbImmeublesPerso&gt;=8,(B477=""),"")</f>
        <v/>
      </c>
    </row>
    <row r="478" spans="1:4" ht="14.65" hidden="1" thickBot="1" x14ac:dyDescent="0.5">
      <c r="A478" s="2" t="str">
        <f>Traduction!C160</f>
        <v>Nom ou adresse</v>
      </c>
      <c r="B478" s="171" t="str">
        <f>IF(OR(B477="Oui",B477="Yes"),Traduction!$C$327,"")</f>
        <v/>
      </c>
      <c r="C478" s="172"/>
      <c r="D478" t="b">
        <f>IF((AND((B478=""),(C478=""),NbImmeublesPerso&gt;=8)),TRUE)</f>
        <v>0</v>
      </c>
    </row>
    <row r="479" spans="1:4" ht="15" hidden="1" thickTop="1" thickBot="1" x14ac:dyDescent="0.5">
      <c r="A479" s="2" t="str">
        <f>Traduction!C161</f>
        <v>Pourcentage détenu par le client ou le conjoint (%)</v>
      </c>
      <c r="B479" s="96" t="str">
        <f>IF(OR(B477="Oui",B477="Yes"),Traduction!$C$327,"")</f>
        <v/>
      </c>
      <c r="C479" s="96" t="str">
        <f>IF(OR(B477="Oui",B477="Yes"),Traduction!$C$327,"")</f>
        <v/>
      </c>
      <c r="D479" t="b">
        <f>IF((AND((B479=""),(C479=""),NbImmeublesPerso&gt;=8)),TRUE)</f>
        <v>0</v>
      </c>
    </row>
    <row r="480" spans="1:4" ht="14.65" hidden="1" thickTop="1" x14ac:dyDescent="0.45">
      <c r="A480" s="2" t="str">
        <f>Traduction!C162</f>
        <v>Valeur marchande bâtiment</v>
      </c>
      <c r="B480" s="158"/>
      <c r="C480" s="154"/>
      <c r="D480" t="str">
        <f>IF(NbImmeublesPerso&gt;=8,(B480=""),"")</f>
        <v/>
      </c>
    </row>
    <row r="481" spans="1:4" hidden="1" x14ac:dyDescent="0.45">
      <c r="A481" s="2" t="str">
        <f>Traduction!C163</f>
        <v>Prix de base rajusté du bâtiment</v>
      </c>
      <c r="B481" s="158" t="str">
        <f>IF(OR(B477="Oui",B477="Yes"),Traduction!$C$327,"")</f>
        <v/>
      </c>
      <c r="C481" s="154"/>
      <c r="D481" t="str">
        <f t="shared" ref="D481:D489" si="36">IF(NbImmeublesPerso&gt;=8,(B481=""),"")</f>
        <v/>
      </c>
    </row>
    <row r="482" spans="1:4" hidden="1" x14ac:dyDescent="0.45">
      <c r="A482" s="2" t="str">
        <f>Traduction!C164</f>
        <v>FNACC bâtiment</v>
      </c>
      <c r="B482" s="158" t="str">
        <f>IF(OR(B477="Oui",B477="Yes"),Traduction!$C$327,"")</f>
        <v/>
      </c>
      <c r="C482" s="154"/>
      <c r="D482" t="str">
        <f t="shared" si="36"/>
        <v/>
      </c>
    </row>
    <row r="483" spans="1:4" hidden="1" x14ac:dyDescent="0.45">
      <c r="A483" s="2" t="str">
        <f>Traduction!C165</f>
        <v>Valeur marchande terrain</v>
      </c>
      <c r="B483" s="158"/>
      <c r="C483" s="154"/>
      <c r="D483" t="str">
        <f t="shared" si="36"/>
        <v/>
      </c>
    </row>
    <row r="484" spans="1:4" hidden="1" x14ac:dyDescent="0.45">
      <c r="A484" s="2" t="str">
        <f>Traduction!C166</f>
        <v>Prix de base rajusté terrain</v>
      </c>
      <c r="B484" s="158" t="str">
        <f>IF(OR(B477="Oui",B477="Yes"),Traduction!$C$327,"")</f>
        <v/>
      </c>
      <c r="C484" s="154"/>
      <c r="D484" t="str">
        <f t="shared" si="36"/>
        <v/>
      </c>
    </row>
    <row r="485" spans="1:4" hidden="1" x14ac:dyDescent="0.45">
      <c r="A485" s="2" t="str">
        <f>Traduction!C167</f>
        <v>Année de vente de l'immeuble</v>
      </c>
      <c r="B485" s="138"/>
      <c r="C485" s="139"/>
      <c r="D485" t="str">
        <f t="shared" si="36"/>
        <v/>
      </c>
    </row>
    <row r="486" spans="1:4" hidden="1" x14ac:dyDescent="0.45">
      <c r="A486" s="2" t="str">
        <f>Traduction!C168</f>
        <v>Solde hypohécaire</v>
      </c>
      <c r="B486" s="148"/>
      <c r="C486" s="149"/>
      <c r="D486" t="str">
        <f t="shared" si="36"/>
        <v/>
      </c>
    </row>
    <row r="487" spans="1:4" hidden="1" x14ac:dyDescent="0.45">
      <c r="A487" s="2" t="str">
        <f>Traduction!C169</f>
        <v>Date de fin du paiement hypothécaire (aaaa-mm-jj)</v>
      </c>
      <c r="B487" s="167"/>
      <c r="C487" s="139"/>
      <c r="D487" t="str">
        <f t="shared" si="36"/>
        <v/>
      </c>
    </row>
    <row r="488" spans="1:4" hidden="1" x14ac:dyDescent="0.45">
      <c r="A488" s="2" t="str">
        <f>Traduction!C170</f>
        <v>Taux d'intérêt sur le prêt hypothécaire (%)</v>
      </c>
      <c r="B488" s="161"/>
      <c r="C488" s="152"/>
      <c r="D488" t="str">
        <f t="shared" si="36"/>
        <v/>
      </c>
    </row>
    <row r="489" spans="1:4" hidden="1" x14ac:dyDescent="0.45">
      <c r="A489" s="2" t="str">
        <f>Traduction!C171</f>
        <v>Revenu de location net avant déduction des intérêts sur le prêt et avant amortissement</v>
      </c>
      <c r="B489" s="158" t="str">
        <f>IF(OR(B477="Oui",B477="Yes"),Traduction!$C$327,"")</f>
        <v/>
      </c>
      <c r="C489" s="154"/>
      <c r="D489" t="str">
        <f t="shared" si="36"/>
        <v/>
      </c>
    </row>
    <row r="490" spans="1:4" hidden="1" x14ac:dyDescent="0.45">
      <c r="A490" s="145" t="str">
        <f>Traduction!C157</f>
        <v>Immeuble 9</v>
      </c>
      <c r="B490" s="146"/>
      <c r="C490" s="147"/>
    </row>
    <row r="491" spans="1:4" hidden="1" x14ac:dyDescent="0.45">
      <c r="A491" s="2" t="str">
        <f>Traduction!C159</f>
        <v>Je joins une copie de la déclaration de revenus fédérale contenant le feuillet T776</v>
      </c>
      <c r="B491" s="138" t="str">
        <f>IF(AND(NbImmeublesPerso&gt;=9,OR($B$24="Oui",$B$24="Yes",$C$24="Oui",$C$24="Yes")),"Oui","Non")</f>
        <v>Non</v>
      </c>
      <c r="C491" s="139"/>
      <c r="D491" t="str">
        <f>IF(NbImmeublesPerso&gt;=9,(B491=""),"")</f>
        <v/>
      </c>
    </row>
    <row r="492" spans="1:4" ht="14.65" hidden="1" thickBot="1" x14ac:dyDescent="0.5">
      <c r="A492" s="2" t="str">
        <f>Traduction!C160</f>
        <v>Nom ou adresse</v>
      </c>
      <c r="B492" s="171"/>
      <c r="C492" s="172"/>
      <c r="D492" t="str">
        <f>IF(NbImmeublesPerso&gt;=9,(B492=""),"")</f>
        <v/>
      </c>
    </row>
    <row r="493" spans="1:4" ht="15" hidden="1" thickTop="1" thickBot="1" x14ac:dyDescent="0.5">
      <c r="A493" s="2" t="str">
        <f>Traduction!C161</f>
        <v>Pourcentage détenu par le client ou le conjoint (%)</v>
      </c>
      <c r="B493" s="96" t="str">
        <f>IF(OR(B491="Oui",B491="Yes"),Traduction!$C$327,"")</f>
        <v/>
      </c>
      <c r="C493" s="96" t="str">
        <f>IF(OR(B491="Oui",B491="Yes"),Traduction!$C$327,"")</f>
        <v/>
      </c>
      <c r="D493" t="b">
        <f>IF((AND((B493=""),(C493=""),NbImmeublesPerso&gt;=9)),TRUE)</f>
        <v>0</v>
      </c>
    </row>
    <row r="494" spans="1:4" ht="14.65" hidden="1" thickTop="1" x14ac:dyDescent="0.45">
      <c r="A494" s="2" t="str">
        <f>Traduction!C162</f>
        <v>Valeur marchande bâtiment</v>
      </c>
      <c r="B494" s="158"/>
      <c r="C494" s="154"/>
      <c r="D494" t="str">
        <f t="shared" ref="D494:D503" si="37">IF(NbImmeublesPerso&gt;=9,(B494=""),"")</f>
        <v/>
      </c>
    </row>
    <row r="495" spans="1:4" hidden="1" x14ac:dyDescent="0.45">
      <c r="A495" s="2" t="str">
        <f>Traduction!C163</f>
        <v>Prix de base rajusté du bâtiment</v>
      </c>
      <c r="B495" s="158" t="str">
        <f>IF(OR(B491="Oui",B491="Yes"),Traduction!$C$327,"")</f>
        <v/>
      </c>
      <c r="C495" s="154"/>
      <c r="D495" t="str">
        <f t="shared" si="37"/>
        <v/>
      </c>
    </row>
    <row r="496" spans="1:4" hidden="1" x14ac:dyDescent="0.45">
      <c r="A496" s="2" t="str">
        <f>Traduction!C164</f>
        <v>FNACC bâtiment</v>
      </c>
      <c r="B496" s="158" t="str">
        <f>IF(OR(B491="Oui",B491="Yes"),Traduction!$C$327,"")</f>
        <v/>
      </c>
      <c r="C496" s="154"/>
      <c r="D496" t="str">
        <f t="shared" si="37"/>
        <v/>
      </c>
    </row>
    <row r="497" spans="1:4" hidden="1" x14ac:dyDescent="0.45">
      <c r="A497" s="2" t="str">
        <f>Traduction!C165</f>
        <v>Valeur marchande terrain</v>
      </c>
      <c r="B497" s="158"/>
      <c r="C497" s="154"/>
      <c r="D497" t="str">
        <f t="shared" si="37"/>
        <v/>
      </c>
    </row>
    <row r="498" spans="1:4" hidden="1" x14ac:dyDescent="0.45">
      <c r="A498" s="2" t="str">
        <f>Traduction!C166</f>
        <v>Prix de base rajusté terrain</v>
      </c>
      <c r="B498" s="158" t="str">
        <f>IF(OR(B491="Oui",B491="Yes"),Traduction!$C$327,"")</f>
        <v/>
      </c>
      <c r="C498" s="154"/>
      <c r="D498" t="str">
        <f t="shared" si="37"/>
        <v/>
      </c>
    </row>
    <row r="499" spans="1:4" hidden="1" x14ac:dyDescent="0.45">
      <c r="A499" s="2" t="str">
        <f>Traduction!C167</f>
        <v>Année de vente de l'immeuble</v>
      </c>
      <c r="B499" s="138"/>
      <c r="C499" s="139"/>
      <c r="D499" t="str">
        <f t="shared" si="37"/>
        <v/>
      </c>
    </row>
    <row r="500" spans="1:4" hidden="1" x14ac:dyDescent="0.45">
      <c r="A500" s="2" t="str">
        <f>Traduction!C168</f>
        <v>Solde hypohécaire</v>
      </c>
      <c r="B500" s="148"/>
      <c r="C500" s="149"/>
      <c r="D500" t="str">
        <f t="shared" si="37"/>
        <v/>
      </c>
    </row>
    <row r="501" spans="1:4" hidden="1" x14ac:dyDescent="0.45">
      <c r="A501" s="2" t="str">
        <f>Traduction!C169</f>
        <v>Date de fin du paiement hypothécaire (aaaa-mm-jj)</v>
      </c>
      <c r="B501" s="167"/>
      <c r="C501" s="139"/>
      <c r="D501" t="str">
        <f t="shared" si="37"/>
        <v/>
      </c>
    </row>
    <row r="502" spans="1:4" hidden="1" x14ac:dyDescent="0.45">
      <c r="A502" s="2" t="str">
        <f>Traduction!C170</f>
        <v>Taux d'intérêt sur le prêt hypothécaire (%)</v>
      </c>
      <c r="B502" s="161"/>
      <c r="C502" s="152"/>
      <c r="D502" t="str">
        <f t="shared" si="37"/>
        <v/>
      </c>
    </row>
    <row r="503" spans="1:4" hidden="1" x14ac:dyDescent="0.45">
      <c r="A503" s="2" t="str">
        <f>Traduction!C171</f>
        <v>Revenu de location net avant déduction des intérêts sur le prêt et avant amortissement</v>
      </c>
      <c r="B503" s="158" t="str">
        <f>IF(OR(B491="Oui",B491="Yes"),Traduction!$C$327,"")</f>
        <v/>
      </c>
      <c r="C503" s="154"/>
      <c r="D503" t="str">
        <f t="shared" si="37"/>
        <v/>
      </c>
    </row>
    <row r="504" spans="1:4" hidden="1" x14ac:dyDescent="0.45">
      <c r="A504" s="145" t="str">
        <f>Traduction!C158</f>
        <v>Immeuble 10</v>
      </c>
      <c r="B504" s="146"/>
      <c r="C504" s="147"/>
    </row>
    <row r="505" spans="1:4" hidden="1" x14ac:dyDescent="0.45">
      <c r="A505" s="2" t="str">
        <f>Traduction!C159</f>
        <v>Je joins une copie de la déclaration de revenus fédérale contenant le feuillet T776</v>
      </c>
      <c r="B505" s="138" t="str">
        <f>IF(AND(NbImmeublesPerso&gt;=10,OR($B$24="Oui",$B$24="Yes",$C$24="Oui",$C$24="Yes")),"Oui","Non")</f>
        <v>Non</v>
      </c>
      <c r="C505" s="139"/>
      <c r="D505" s="8" t="b">
        <f t="shared" ref="D505:D517" si="38">IF(NbImmeublesPerso&gt;=10,IF(B505="",TRUE))</f>
        <v>0</v>
      </c>
    </row>
    <row r="506" spans="1:4" ht="14.65" hidden="1" thickBot="1" x14ac:dyDescent="0.5">
      <c r="A506" s="2" t="str">
        <f>Traduction!C160</f>
        <v>Nom ou adresse</v>
      </c>
      <c r="B506" s="171" t="str">
        <f>IF(OR(B505="Oui",B505="Yes"),Traduction!$C$327,"")</f>
        <v/>
      </c>
      <c r="C506" s="172"/>
      <c r="D506" s="8" t="b">
        <f t="shared" si="38"/>
        <v>0</v>
      </c>
    </row>
    <row r="507" spans="1:4" ht="15" hidden="1" thickTop="1" thickBot="1" x14ac:dyDescent="0.5">
      <c r="A507" s="2" t="str">
        <f>Traduction!C161</f>
        <v>Pourcentage détenu par le client ou le conjoint (%)</v>
      </c>
      <c r="B507" s="96" t="str">
        <f>IF(OR(B505="Oui",B505="Yes"),Traduction!$C$327,"")</f>
        <v/>
      </c>
      <c r="C507" s="96" t="str">
        <f>IF(OR(B505="Oui",B505="Yes"),Traduction!$C$327,"")</f>
        <v/>
      </c>
      <c r="D507" t="b">
        <f>IF((AND((B507=""),(C507=""),NbImmeublesPerso&gt;=10)),TRUE)</f>
        <v>0</v>
      </c>
    </row>
    <row r="508" spans="1:4" ht="14.65" hidden="1" thickTop="1" x14ac:dyDescent="0.45">
      <c r="A508" s="2" t="str">
        <f>Traduction!C162</f>
        <v>Valeur marchande bâtiment</v>
      </c>
      <c r="B508" s="158"/>
      <c r="C508" s="154"/>
      <c r="D508" s="8" t="b">
        <f t="shared" si="38"/>
        <v>0</v>
      </c>
    </row>
    <row r="509" spans="1:4" hidden="1" x14ac:dyDescent="0.45">
      <c r="A509" s="2" t="str">
        <f>Traduction!C163</f>
        <v>Prix de base rajusté du bâtiment</v>
      </c>
      <c r="B509" s="158" t="str">
        <f>IF(OR(B505="Oui",B505="Yes"),Traduction!$C$327,"")</f>
        <v/>
      </c>
      <c r="C509" s="154"/>
      <c r="D509" s="8" t="b">
        <f t="shared" si="38"/>
        <v>0</v>
      </c>
    </row>
    <row r="510" spans="1:4" hidden="1" x14ac:dyDescent="0.45">
      <c r="A510" s="2" t="str">
        <f>Traduction!C164</f>
        <v>FNACC bâtiment</v>
      </c>
      <c r="B510" s="158" t="str">
        <f>IF(OR(B505="Oui",B505="Yes"),Traduction!$C$327,"")</f>
        <v/>
      </c>
      <c r="C510" s="154"/>
      <c r="D510" s="8" t="b">
        <f t="shared" si="38"/>
        <v>0</v>
      </c>
    </row>
    <row r="511" spans="1:4" hidden="1" x14ac:dyDescent="0.45">
      <c r="A511" s="2" t="str">
        <f>Traduction!C165</f>
        <v>Valeur marchande terrain</v>
      </c>
      <c r="B511" s="158"/>
      <c r="C511" s="154"/>
      <c r="D511" s="8" t="b">
        <f t="shared" si="38"/>
        <v>0</v>
      </c>
    </row>
    <row r="512" spans="1:4" hidden="1" x14ac:dyDescent="0.45">
      <c r="A512" s="2" t="str">
        <f>Traduction!C166</f>
        <v>Prix de base rajusté terrain</v>
      </c>
      <c r="B512" s="158" t="str">
        <f>IF(OR(B505="Oui",B505="Yes"),Traduction!$C$327,"")</f>
        <v/>
      </c>
      <c r="C512" s="154"/>
      <c r="D512" s="8" t="b">
        <f t="shared" si="38"/>
        <v>0</v>
      </c>
    </row>
    <row r="513" spans="1:4" hidden="1" x14ac:dyDescent="0.45">
      <c r="A513" s="2" t="str">
        <f>Traduction!C167</f>
        <v>Année de vente de l'immeuble</v>
      </c>
      <c r="B513" s="138"/>
      <c r="C513" s="139"/>
      <c r="D513" s="8" t="b">
        <f t="shared" si="38"/>
        <v>0</v>
      </c>
    </row>
    <row r="514" spans="1:4" hidden="1" x14ac:dyDescent="0.45">
      <c r="A514" s="2" t="str">
        <f>Traduction!C168</f>
        <v>Solde hypohécaire</v>
      </c>
      <c r="B514" s="148"/>
      <c r="C514" s="149"/>
      <c r="D514" s="8" t="b">
        <f t="shared" si="38"/>
        <v>0</v>
      </c>
    </row>
    <row r="515" spans="1:4" hidden="1" x14ac:dyDescent="0.45">
      <c r="A515" s="2" t="str">
        <f>Traduction!C169</f>
        <v>Date de fin du paiement hypothécaire (aaaa-mm-jj)</v>
      </c>
      <c r="B515" s="167"/>
      <c r="C515" s="139"/>
      <c r="D515" s="8" t="b">
        <f t="shared" si="38"/>
        <v>0</v>
      </c>
    </row>
    <row r="516" spans="1:4" hidden="1" x14ac:dyDescent="0.45">
      <c r="A516" s="2" t="str">
        <f>Traduction!C170</f>
        <v>Taux d'intérêt sur le prêt hypothécaire (%)</v>
      </c>
      <c r="B516" s="161"/>
      <c r="C516" s="152"/>
      <c r="D516" s="8" t="b">
        <f t="shared" si="38"/>
        <v>0</v>
      </c>
    </row>
    <row r="517" spans="1:4" hidden="1" x14ac:dyDescent="0.45">
      <c r="A517" s="2" t="str">
        <f>Traduction!C171</f>
        <v>Revenu de location net avant déduction des intérêts sur le prêt et avant amortissement</v>
      </c>
      <c r="B517" s="158" t="str">
        <f>IF(OR(B505="Oui",B505="Yes"),Traduction!$C$327,"")</f>
        <v/>
      </c>
      <c r="C517" s="154"/>
      <c r="D517" s="8" t="b">
        <f t="shared" si="38"/>
        <v>0</v>
      </c>
    </row>
    <row r="518" spans="1:4" x14ac:dyDescent="0.45">
      <c r="A518" s="159" t="str">
        <f>Traduction!C172</f>
        <v>Immeuble(s) à revenus dans une société</v>
      </c>
      <c r="B518" s="159"/>
      <c r="C518" s="159"/>
    </row>
    <row r="519" spans="1:4" x14ac:dyDescent="0.45">
      <c r="A519" s="160"/>
      <c r="B519" s="160"/>
      <c r="C519" s="160"/>
    </row>
    <row r="520" spans="1:4" x14ac:dyDescent="0.45">
      <c r="A520" s="157" t="str">
        <f>Traduction!C149</f>
        <v>Immeuble 1</v>
      </c>
      <c r="B520" s="157"/>
      <c r="C520" s="157"/>
    </row>
    <row r="521" spans="1:4" x14ac:dyDescent="0.45">
      <c r="A521" s="2" t="str">
        <f>Traduction!C173</f>
        <v>Je joins une copie des états financiers de la société propriétaire</v>
      </c>
      <c r="B521" s="138"/>
      <c r="C521" s="139"/>
      <c r="D521" s="8" t="b">
        <f t="shared" ref="D521:D534" si="39">IF(NbImmeublesCorpo&gt;=1,IF(B521="",TRUE))</f>
        <v>1</v>
      </c>
    </row>
    <row r="522" spans="1:4" x14ac:dyDescent="0.45">
      <c r="A522" s="2" t="str">
        <f>Traduction!C160</f>
        <v>Nom ou adresse</v>
      </c>
      <c r="B522" s="138"/>
      <c r="C522" s="139"/>
      <c r="D522" s="8" t="b">
        <f t="shared" si="39"/>
        <v>1</v>
      </c>
    </row>
    <row r="523" spans="1:4" ht="28.5" x14ac:dyDescent="0.45">
      <c r="A523" s="68" t="str">
        <f>Traduction!C328</f>
        <v>Nom de la société propriétaire (les informations doivent être inscrites dans les sections précédentes pour être inclus dans le menu déroulant)</v>
      </c>
      <c r="B523" s="138"/>
      <c r="C523" s="139"/>
      <c r="D523" s="8" t="b">
        <f t="shared" si="39"/>
        <v>1</v>
      </c>
    </row>
    <row r="524" spans="1:4" x14ac:dyDescent="0.45">
      <c r="A524" s="2" t="str">
        <f>Traduction!C329</f>
        <v>Pourcentage détenu par la société (%)</v>
      </c>
      <c r="B524" s="161">
        <v>1</v>
      </c>
      <c r="C524" s="152"/>
      <c r="D524" s="8" t="b">
        <f t="shared" si="39"/>
        <v>0</v>
      </c>
    </row>
    <row r="525" spans="1:4" x14ac:dyDescent="0.45">
      <c r="A525" s="2" t="str">
        <f>Traduction!C162</f>
        <v>Valeur marchande bâtiment</v>
      </c>
      <c r="B525" s="158"/>
      <c r="C525" s="154"/>
      <c r="D525" s="8" t="b">
        <f t="shared" si="39"/>
        <v>1</v>
      </c>
    </row>
    <row r="526" spans="1:4" x14ac:dyDescent="0.45">
      <c r="A526" s="2" t="str">
        <f>Traduction!C163</f>
        <v>Prix de base rajusté du bâtiment</v>
      </c>
      <c r="B526" s="158" t="str">
        <f>IF(OR(B521="Oui",B521="Yes"),Traduction!C327,"")</f>
        <v/>
      </c>
      <c r="C526" s="154"/>
      <c r="D526" s="8" t="b">
        <f t="shared" si="39"/>
        <v>1</v>
      </c>
    </row>
    <row r="527" spans="1:4" x14ac:dyDescent="0.45">
      <c r="A527" s="2" t="str">
        <f>Traduction!C164</f>
        <v>FNACC bâtiment</v>
      </c>
      <c r="B527" s="158" t="str">
        <f>IF(OR(B521="Oui",B521="Yes"),Traduction!C327,"")</f>
        <v/>
      </c>
      <c r="C527" s="154"/>
      <c r="D527" s="8" t="b">
        <f t="shared" si="39"/>
        <v>1</v>
      </c>
    </row>
    <row r="528" spans="1:4" x14ac:dyDescent="0.45">
      <c r="A528" s="2" t="str">
        <f>Traduction!C165</f>
        <v>Valeur marchande terrain</v>
      </c>
      <c r="B528" s="148"/>
      <c r="C528" s="149"/>
      <c r="D528" s="8" t="b">
        <f t="shared" si="39"/>
        <v>1</v>
      </c>
    </row>
    <row r="529" spans="1:4" x14ac:dyDescent="0.45">
      <c r="A529" s="2" t="str">
        <f>Traduction!C166</f>
        <v>Prix de base rajusté terrain</v>
      </c>
      <c r="B529" s="158" t="str">
        <f>IF(OR(B521="Oui",B521="Yes"),Traduction!C327,"")</f>
        <v/>
      </c>
      <c r="C529" s="154"/>
      <c r="D529" s="8" t="b">
        <f t="shared" si="39"/>
        <v>1</v>
      </c>
    </row>
    <row r="530" spans="1:4" x14ac:dyDescent="0.45">
      <c r="A530" s="2" t="str">
        <f>Traduction!C167</f>
        <v>Année de vente de l'immeuble</v>
      </c>
      <c r="B530" s="138"/>
      <c r="C530" s="139"/>
      <c r="D530" s="8" t="b">
        <f t="shared" si="39"/>
        <v>1</v>
      </c>
    </row>
    <row r="531" spans="1:4" x14ac:dyDescent="0.45">
      <c r="A531" s="2" t="str">
        <f>Traduction!C168</f>
        <v>Solde hypohécaire</v>
      </c>
      <c r="B531" s="189" t="str">
        <f>IF(OR(B521="Oui",B521="Yes"),Traduction!C327,"")</f>
        <v/>
      </c>
      <c r="C531" s="190"/>
      <c r="D531" s="8" t="b">
        <f t="shared" si="39"/>
        <v>1</v>
      </c>
    </row>
    <row r="532" spans="1:4" x14ac:dyDescent="0.45">
      <c r="A532" s="2" t="str">
        <f>Traduction!C169</f>
        <v>Date de fin du paiement hypothécaire (aaaa-mm-jj)</v>
      </c>
      <c r="B532" s="138"/>
      <c r="C532" s="139"/>
      <c r="D532" s="8" t="b">
        <f t="shared" si="39"/>
        <v>1</v>
      </c>
    </row>
    <row r="533" spans="1:4" x14ac:dyDescent="0.45">
      <c r="A533" s="2" t="str">
        <f>Traduction!C170</f>
        <v>Taux d'intérêt sur le prêt hypothécaire (%)</v>
      </c>
      <c r="B533" s="161" t="str">
        <f>IF(OR(B521="Oui",B521="Yes"),Traduction!C327,"")</f>
        <v/>
      </c>
      <c r="C533" s="152"/>
      <c r="D533" s="8" t="b">
        <f t="shared" si="39"/>
        <v>1</v>
      </c>
    </row>
    <row r="534" spans="1:4" x14ac:dyDescent="0.45">
      <c r="A534" s="2" t="str">
        <f>Traduction!C171</f>
        <v>Revenu de location net avant déduction des intérêts sur le prêt et avant amortissement</v>
      </c>
      <c r="B534" s="158" t="str">
        <f>IF(OR(B521="Oui",B521="Yes"),Traduction!C327,"")</f>
        <v/>
      </c>
      <c r="C534" s="154"/>
      <c r="D534" s="8" t="b">
        <f t="shared" si="39"/>
        <v>1</v>
      </c>
    </row>
    <row r="535" spans="1:4" hidden="1" x14ac:dyDescent="0.45">
      <c r="A535" s="145" t="str">
        <f>Traduction!C150</f>
        <v>Immeuble 2</v>
      </c>
      <c r="B535" s="146"/>
      <c r="C535" s="147"/>
    </row>
    <row r="536" spans="1:4" hidden="1" x14ac:dyDescent="0.45">
      <c r="A536" s="2" t="str">
        <f>Traduction!C173</f>
        <v>Je joins une copie des états financiers de la société propriétaire</v>
      </c>
      <c r="B536" s="138"/>
      <c r="C536" s="139"/>
      <c r="D536" s="8" t="b">
        <f t="shared" ref="D536:D549" si="40">IF(NbImmeublesCorpo&gt;=2,IF(B536="",TRUE))</f>
        <v>0</v>
      </c>
    </row>
    <row r="537" spans="1:4" hidden="1" x14ac:dyDescent="0.45">
      <c r="A537" s="2" t="str">
        <f>Traduction!C160</f>
        <v>Nom ou adresse</v>
      </c>
      <c r="B537" s="138"/>
      <c r="C537" s="139"/>
      <c r="D537" s="8" t="b">
        <f t="shared" si="40"/>
        <v>0</v>
      </c>
    </row>
    <row r="538" spans="1:4" ht="28.5" hidden="1" x14ac:dyDescent="0.45">
      <c r="A538" s="68" t="str">
        <f>Traduction!C328</f>
        <v>Nom de la société propriétaire (les informations doivent être inscrites dans les sections précédentes pour être inclus dans le menu déroulant)</v>
      </c>
      <c r="B538" s="138"/>
      <c r="C538" s="139"/>
      <c r="D538" s="8" t="b">
        <f t="shared" si="40"/>
        <v>0</v>
      </c>
    </row>
    <row r="539" spans="1:4" hidden="1" x14ac:dyDescent="0.45">
      <c r="A539" s="2" t="str">
        <f>Traduction!C329</f>
        <v>Pourcentage détenu par la société (%)</v>
      </c>
      <c r="B539" s="161">
        <v>1</v>
      </c>
      <c r="C539" s="152"/>
      <c r="D539" s="8" t="b">
        <f t="shared" si="40"/>
        <v>0</v>
      </c>
    </row>
    <row r="540" spans="1:4" hidden="1" x14ac:dyDescent="0.45">
      <c r="A540" s="2" t="str">
        <f>Traduction!C162</f>
        <v>Valeur marchande bâtiment</v>
      </c>
      <c r="B540" s="158"/>
      <c r="C540" s="154"/>
      <c r="D540" s="8" t="b">
        <f t="shared" si="40"/>
        <v>0</v>
      </c>
    </row>
    <row r="541" spans="1:4" hidden="1" x14ac:dyDescent="0.45">
      <c r="A541" s="2" t="str">
        <f>Traduction!C163</f>
        <v>Prix de base rajusté du bâtiment</v>
      </c>
      <c r="B541" s="158" t="str">
        <f>IF(OR(B536="Oui",B536="Yes"),Traduction!C342,"")</f>
        <v/>
      </c>
      <c r="C541" s="154"/>
      <c r="D541" s="8" t="b">
        <f t="shared" si="40"/>
        <v>0</v>
      </c>
    </row>
    <row r="542" spans="1:4" hidden="1" x14ac:dyDescent="0.45">
      <c r="A542" s="2" t="str">
        <f>Traduction!C164</f>
        <v>FNACC bâtiment</v>
      </c>
      <c r="B542" s="158" t="str">
        <f>IF(OR(B536="Oui",B536="Yes"),Traduction!C342,"")</f>
        <v/>
      </c>
      <c r="C542" s="154"/>
      <c r="D542" s="8" t="b">
        <f t="shared" si="40"/>
        <v>0</v>
      </c>
    </row>
    <row r="543" spans="1:4" hidden="1" x14ac:dyDescent="0.45">
      <c r="A543" s="2" t="str">
        <f>Traduction!C165</f>
        <v>Valeur marchande terrain</v>
      </c>
      <c r="B543" s="148"/>
      <c r="C543" s="149"/>
      <c r="D543" s="8" t="b">
        <f t="shared" si="40"/>
        <v>0</v>
      </c>
    </row>
    <row r="544" spans="1:4" hidden="1" x14ac:dyDescent="0.45">
      <c r="A544" s="2" t="str">
        <f>Traduction!C166</f>
        <v>Prix de base rajusté terrain</v>
      </c>
      <c r="B544" s="158" t="str">
        <f>IF(OR(B536="Oui",B536="Yes"),Traduction!C342,"")</f>
        <v/>
      </c>
      <c r="C544" s="154"/>
      <c r="D544" s="8" t="b">
        <f t="shared" si="40"/>
        <v>0</v>
      </c>
    </row>
    <row r="545" spans="1:4" hidden="1" x14ac:dyDescent="0.45">
      <c r="A545" s="2" t="str">
        <f>Traduction!C167</f>
        <v>Année de vente de l'immeuble</v>
      </c>
      <c r="B545" s="138"/>
      <c r="C545" s="139"/>
      <c r="D545" s="8" t="b">
        <f t="shared" si="40"/>
        <v>0</v>
      </c>
    </row>
    <row r="546" spans="1:4" hidden="1" x14ac:dyDescent="0.45">
      <c r="A546" s="2" t="str">
        <f>Traduction!C168</f>
        <v>Solde hypohécaire</v>
      </c>
      <c r="B546" s="189" t="str">
        <f>IF(OR(B536="Oui",B536="Yes"),Traduction!C342,"")</f>
        <v/>
      </c>
      <c r="C546" s="190"/>
      <c r="D546" s="8" t="b">
        <f t="shared" si="40"/>
        <v>0</v>
      </c>
    </row>
    <row r="547" spans="1:4" hidden="1" x14ac:dyDescent="0.45">
      <c r="A547" s="2" t="str">
        <f>Traduction!C169</f>
        <v>Date de fin du paiement hypothécaire (aaaa-mm-jj)</v>
      </c>
      <c r="B547" s="138"/>
      <c r="C547" s="139"/>
      <c r="D547" s="8" t="b">
        <f t="shared" si="40"/>
        <v>0</v>
      </c>
    </row>
    <row r="548" spans="1:4" hidden="1" x14ac:dyDescent="0.45">
      <c r="A548" s="2" t="str">
        <f>Traduction!C170</f>
        <v>Taux d'intérêt sur le prêt hypothécaire (%)</v>
      </c>
      <c r="B548" s="161" t="str">
        <f>IF(OR(B536="Oui",B536="Yes"),Traduction!C342,"")</f>
        <v/>
      </c>
      <c r="C548" s="152"/>
      <c r="D548" s="8" t="b">
        <f t="shared" si="40"/>
        <v>0</v>
      </c>
    </row>
    <row r="549" spans="1:4" hidden="1" x14ac:dyDescent="0.45">
      <c r="A549" s="2" t="str">
        <f>Traduction!C171</f>
        <v>Revenu de location net avant déduction des intérêts sur le prêt et avant amortissement</v>
      </c>
      <c r="B549" s="158" t="str">
        <f>IF(OR(B536="Oui",B536="Yes"),Traduction!C342,"")</f>
        <v/>
      </c>
      <c r="C549" s="154"/>
      <c r="D549" s="8" t="b">
        <f t="shared" si="40"/>
        <v>0</v>
      </c>
    </row>
    <row r="550" spans="1:4" hidden="1" x14ac:dyDescent="0.45">
      <c r="A550" s="145" t="str">
        <f>Traduction!C151</f>
        <v>Immeuble 3</v>
      </c>
      <c r="B550" s="146"/>
      <c r="C550" s="147"/>
    </row>
    <row r="551" spans="1:4" hidden="1" x14ac:dyDescent="0.45">
      <c r="A551" s="2" t="str">
        <f>Traduction!C173</f>
        <v>Je joins une copie des états financiers de la société propriétaire</v>
      </c>
      <c r="B551" s="138"/>
      <c r="C551" s="139"/>
      <c r="D551" s="8" t="b">
        <f t="shared" ref="D551:D564" si="41">IF(NbImmeublesCorpo&gt;=3,IF(B551="",TRUE))</f>
        <v>0</v>
      </c>
    </row>
    <row r="552" spans="1:4" hidden="1" x14ac:dyDescent="0.45">
      <c r="A552" s="2" t="str">
        <f>Traduction!C160</f>
        <v>Nom ou adresse</v>
      </c>
      <c r="B552" s="138"/>
      <c r="C552" s="139"/>
      <c r="D552" s="8" t="b">
        <f t="shared" si="41"/>
        <v>0</v>
      </c>
    </row>
    <row r="553" spans="1:4" ht="28.5" hidden="1" x14ac:dyDescent="0.45">
      <c r="A553" s="68" t="str">
        <f>Traduction!C328</f>
        <v>Nom de la société propriétaire (les informations doivent être inscrites dans les sections précédentes pour être inclus dans le menu déroulant)</v>
      </c>
      <c r="B553" s="138"/>
      <c r="C553" s="139"/>
      <c r="D553" s="8" t="b">
        <f t="shared" si="41"/>
        <v>0</v>
      </c>
    </row>
    <row r="554" spans="1:4" hidden="1" x14ac:dyDescent="0.45">
      <c r="A554" s="2" t="str">
        <f>Traduction!C329</f>
        <v>Pourcentage détenu par la société (%)</v>
      </c>
      <c r="B554" s="161">
        <v>1</v>
      </c>
      <c r="C554" s="152"/>
      <c r="D554" s="8" t="b">
        <f t="shared" si="41"/>
        <v>0</v>
      </c>
    </row>
    <row r="555" spans="1:4" hidden="1" x14ac:dyDescent="0.45">
      <c r="A555" s="2" t="str">
        <f>Traduction!C162</f>
        <v>Valeur marchande bâtiment</v>
      </c>
      <c r="B555" s="158"/>
      <c r="C555" s="154"/>
      <c r="D555" s="8" t="b">
        <f t="shared" si="41"/>
        <v>0</v>
      </c>
    </row>
    <row r="556" spans="1:4" hidden="1" x14ac:dyDescent="0.45">
      <c r="A556" s="2" t="str">
        <f>Traduction!C163</f>
        <v>Prix de base rajusté du bâtiment</v>
      </c>
      <c r="B556" s="158" t="str">
        <f>IF(OR(B551="Oui",B551="Yes"),Traduction!C357,"")</f>
        <v/>
      </c>
      <c r="C556" s="154"/>
      <c r="D556" s="8" t="b">
        <f t="shared" si="41"/>
        <v>0</v>
      </c>
    </row>
    <row r="557" spans="1:4" hidden="1" x14ac:dyDescent="0.45">
      <c r="A557" s="2" t="str">
        <f>Traduction!C164</f>
        <v>FNACC bâtiment</v>
      </c>
      <c r="B557" s="158" t="str">
        <f>IF(OR(B551="Oui",B551="Yes"),Traduction!C357,"")</f>
        <v/>
      </c>
      <c r="C557" s="154"/>
      <c r="D557" s="8" t="b">
        <f t="shared" si="41"/>
        <v>0</v>
      </c>
    </row>
    <row r="558" spans="1:4" hidden="1" x14ac:dyDescent="0.45">
      <c r="A558" s="2" t="str">
        <f>Traduction!C165</f>
        <v>Valeur marchande terrain</v>
      </c>
      <c r="B558" s="148"/>
      <c r="C558" s="149"/>
      <c r="D558" s="8" t="b">
        <f t="shared" si="41"/>
        <v>0</v>
      </c>
    </row>
    <row r="559" spans="1:4" hidden="1" x14ac:dyDescent="0.45">
      <c r="A559" s="2" t="str">
        <f>Traduction!C166</f>
        <v>Prix de base rajusté terrain</v>
      </c>
      <c r="B559" s="158" t="str">
        <f>IF(OR(B551="Oui",B551="Yes"),Traduction!C357,"")</f>
        <v/>
      </c>
      <c r="C559" s="154"/>
      <c r="D559" s="8" t="b">
        <f t="shared" si="41"/>
        <v>0</v>
      </c>
    </row>
    <row r="560" spans="1:4" hidden="1" x14ac:dyDescent="0.45">
      <c r="A560" s="2" t="str">
        <f>Traduction!C167</f>
        <v>Année de vente de l'immeuble</v>
      </c>
      <c r="B560" s="138"/>
      <c r="C560" s="139"/>
      <c r="D560" s="8" t="b">
        <f t="shared" si="41"/>
        <v>0</v>
      </c>
    </row>
    <row r="561" spans="1:4" hidden="1" x14ac:dyDescent="0.45">
      <c r="A561" s="2" t="str">
        <f>Traduction!C168</f>
        <v>Solde hypohécaire</v>
      </c>
      <c r="B561" s="189" t="str">
        <f>IF(OR(B551="Oui",B551="Yes"),Traduction!C357,"")</f>
        <v/>
      </c>
      <c r="C561" s="190"/>
      <c r="D561" s="8" t="b">
        <f t="shared" si="41"/>
        <v>0</v>
      </c>
    </row>
    <row r="562" spans="1:4" hidden="1" x14ac:dyDescent="0.45">
      <c r="A562" s="2" t="str">
        <f>Traduction!C169</f>
        <v>Date de fin du paiement hypothécaire (aaaa-mm-jj)</v>
      </c>
      <c r="B562" s="138"/>
      <c r="C562" s="139"/>
      <c r="D562" s="8" t="b">
        <f t="shared" si="41"/>
        <v>0</v>
      </c>
    </row>
    <row r="563" spans="1:4" hidden="1" x14ac:dyDescent="0.45">
      <c r="A563" s="2" t="str">
        <f>Traduction!C170</f>
        <v>Taux d'intérêt sur le prêt hypothécaire (%)</v>
      </c>
      <c r="B563" s="161" t="str">
        <f>IF(OR(B551="Oui",B551="Yes"),Traduction!C357,"")</f>
        <v/>
      </c>
      <c r="C563" s="152"/>
      <c r="D563" s="8" t="b">
        <f t="shared" si="41"/>
        <v>0</v>
      </c>
    </row>
    <row r="564" spans="1:4" hidden="1" x14ac:dyDescent="0.45">
      <c r="A564" s="2" t="str">
        <f>Traduction!C171</f>
        <v>Revenu de location net avant déduction des intérêts sur le prêt et avant amortissement</v>
      </c>
      <c r="B564" s="158" t="str">
        <f>IF(OR(B551="Oui",B551="Yes"),Traduction!C357,"")</f>
        <v/>
      </c>
      <c r="C564" s="154"/>
      <c r="D564" s="8" t="b">
        <f t="shared" si="41"/>
        <v>0</v>
      </c>
    </row>
    <row r="565" spans="1:4" hidden="1" x14ac:dyDescent="0.45">
      <c r="A565" s="145" t="str">
        <f>Traduction!C152</f>
        <v>Immeuble 4</v>
      </c>
      <c r="B565" s="146"/>
      <c r="C565" s="147"/>
    </row>
    <row r="566" spans="1:4" hidden="1" x14ac:dyDescent="0.45">
      <c r="A566" s="2" t="str">
        <f>Traduction!C173</f>
        <v>Je joins une copie des états financiers de la société propriétaire</v>
      </c>
      <c r="B566" s="138"/>
      <c r="C566" s="139"/>
      <c r="D566" s="8" t="b">
        <f t="shared" ref="D566:D579" si="42">IF(NbImmeublesCorpo&gt;=4,IF(B566="",TRUE))</f>
        <v>0</v>
      </c>
    </row>
    <row r="567" spans="1:4" hidden="1" x14ac:dyDescent="0.45">
      <c r="A567" s="2" t="str">
        <f>Traduction!C160</f>
        <v>Nom ou adresse</v>
      </c>
      <c r="B567" s="138"/>
      <c r="C567" s="139"/>
      <c r="D567" s="8" t="b">
        <f t="shared" si="42"/>
        <v>0</v>
      </c>
    </row>
    <row r="568" spans="1:4" ht="28.5" hidden="1" x14ac:dyDescent="0.45">
      <c r="A568" s="68" t="str">
        <f>Traduction!C328</f>
        <v>Nom de la société propriétaire (les informations doivent être inscrites dans les sections précédentes pour être inclus dans le menu déroulant)</v>
      </c>
      <c r="B568" s="138"/>
      <c r="C568" s="139"/>
      <c r="D568" s="8" t="b">
        <f t="shared" si="42"/>
        <v>0</v>
      </c>
    </row>
    <row r="569" spans="1:4" hidden="1" x14ac:dyDescent="0.45">
      <c r="A569" s="2" t="str">
        <f>Traduction!C329</f>
        <v>Pourcentage détenu par la société (%)</v>
      </c>
      <c r="B569" s="161">
        <v>1</v>
      </c>
      <c r="C569" s="152"/>
      <c r="D569" s="8" t="b">
        <f t="shared" si="42"/>
        <v>0</v>
      </c>
    </row>
    <row r="570" spans="1:4" hidden="1" x14ac:dyDescent="0.45">
      <c r="A570" s="2" t="str">
        <f>Traduction!C162</f>
        <v>Valeur marchande bâtiment</v>
      </c>
      <c r="B570" s="158"/>
      <c r="C570" s="154"/>
      <c r="D570" s="8" t="b">
        <f t="shared" si="42"/>
        <v>0</v>
      </c>
    </row>
    <row r="571" spans="1:4" hidden="1" x14ac:dyDescent="0.45">
      <c r="A571" s="2" t="str">
        <f>Traduction!C163</f>
        <v>Prix de base rajusté du bâtiment</v>
      </c>
      <c r="B571" s="158" t="str">
        <f>IF(OR(B566="Oui",B566="Yes"),Traduction!C372,"")</f>
        <v/>
      </c>
      <c r="C571" s="154"/>
      <c r="D571" s="8" t="b">
        <f t="shared" si="42"/>
        <v>0</v>
      </c>
    </row>
    <row r="572" spans="1:4" hidden="1" x14ac:dyDescent="0.45">
      <c r="A572" s="2" t="str">
        <f>Traduction!C164</f>
        <v>FNACC bâtiment</v>
      </c>
      <c r="B572" s="158" t="str">
        <f>IF(OR(B566="Oui",B566="Yes"),Traduction!C372,"")</f>
        <v/>
      </c>
      <c r="C572" s="154"/>
      <c r="D572" s="8" t="b">
        <f t="shared" si="42"/>
        <v>0</v>
      </c>
    </row>
    <row r="573" spans="1:4" hidden="1" x14ac:dyDescent="0.45">
      <c r="A573" s="2" t="str">
        <f>Traduction!C165</f>
        <v>Valeur marchande terrain</v>
      </c>
      <c r="B573" s="148"/>
      <c r="C573" s="149"/>
      <c r="D573" s="8" t="b">
        <f t="shared" si="42"/>
        <v>0</v>
      </c>
    </row>
    <row r="574" spans="1:4" hidden="1" x14ac:dyDescent="0.45">
      <c r="A574" s="2" t="str">
        <f>Traduction!C166</f>
        <v>Prix de base rajusté terrain</v>
      </c>
      <c r="B574" s="158" t="str">
        <f>IF(OR(B566="Oui",B566="Yes"),Traduction!C372,"")</f>
        <v/>
      </c>
      <c r="C574" s="154"/>
      <c r="D574" s="8" t="b">
        <f t="shared" si="42"/>
        <v>0</v>
      </c>
    </row>
    <row r="575" spans="1:4" hidden="1" x14ac:dyDescent="0.45">
      <c r="A575" s="2" t="str">
        <f>Traduction!C167</f>
        <v>Année de vente de l'immeuble</v>
      </c>
      <c r="B575" s="138"/>
      <c r="C575" s="139"/>
      <c r="D575" s="8" t="b">
        <f t="shared" si="42"/>
        <v>0</v>
      </c>
    </row>
    <row r="576" spans="1:4" hidden="1" x14ac:dyDescent="0.45">
      <c r="A576" s="2" t="str">
        <f>Traduction!C168</f>
        <v>Solde hypohécaire</v>
      </c>
      <c r="B576" s="189" t="str">
        <f>IF(OR(B566="Oui",B566="Yes"),Traduction!C372,"")</f>
        <v/>
      </c>
      <c r="C576" s="190"/>
      <c r="D576" s="8" t="b">
        <f t="shared" si="42"/>
        <v>0</v>
      </c>
    </row>
    <row r="577" spans="1:4" hidden="1" x14ac:dyDescent="0.45">
      <c r="A577" s="2" t="str">
        <f>Traduction!C169</f>
        <v>Date de fin du paiement hypothécaire (aaaa-mm-jj)</v>
      </c>
      <c r="B577" s="138"/>
      <c r="C577" s="139"/>
      <c r="D577" s="8" t="b">
        <f t="shared" si="42"/>
        <v>0</v>
      </c>
    </row>
    <row r="578" spans="1:4" hidden="1" x14ac:dyDescent="0.45">
      <c r="A578" s="2" t="str">
        <f>Traduction!C170</f>
        <v>Taux d'intérêt sur le prêt hypothécaire (%)</v>
      </c>
      <c r="B578" s="161" t="str">
        <f>IF(OR(B566="Oui",B566="Yes"),Traduction!C372,"")</f>
        <v/>
      </c>
      <c r="C578" s="152"/>
      <c r="D578" s="8" t="b">
        <f t="shared" si="42"/>
        <v>0</v>
      </c>
    </row>
    <row r="579" spans="1:4" hidden="1" x14ac:dyDescent="0.45">
      <c r="A579" s="2" t="str">
        <f>Traduction!C171</f>
        <v>Revenu de location net avant déduction des intérêts sur le prêt et avant amortissement</v>
      </c>
      <c r="B579" s="158" t="str">
        <f>IF(OR(B566="Oui",B566="Yes"),Traduction!C372,"")</f>
        <v/>
      </c>
      <c r="C579" s="154"/>
      <c r="D579" s="8" t="b">
        <f t="shared" si="42"/>
        <v>0</v>
      </c>
    </row>
    <row r="580" spans="1:4" hidden="1" x14ac:dyDescent="0.45">
      <c r="A580" s="145" t="str">
        <f>Traduction!C153</f>
        <v>Immeuble 5</v>
      </c>
      <c r="B580" s="146"/>
      <c r="C580" s="147"/>
    </row>
    <row r="581" spans="1:4" hidden="1" x14ac:dyDescent="0.45">
      <c r="A581" s="2" t="str">
        <f>Traduction!C173</f>
        <v>Je joins une copie des états financiers de la société propriétaire</v>
      </c>
      <c r="B581" s="138"/>
      <c r="C581" s="139"/>
      <c r="D581" s="8" t="b">
        <f t="shared" ref="D581:D594" si="43">IF(NbImmeublesCorpo&gt;=5,IF(B581="",TRUE))</f>
        <v>0</v>
      </c>
    </row>
    <row r="582" spans="1:4" hidden="1" x14ac:dyDescent="0.45">
      <c r="A582" s="2" t="str">
        <f>Traduction!C160</f>
        <v>Nom ou adresse</v>
      </c>
      <c r="B582" s="138"/>
      <c r="C582" s="139"/>
      <c r="D582" s="8" t="b">
        <f t="shared" si="43"/>
        <v>0</v>
      </c>
    </row>
    <row r="583" spans="1:4" ht="28.5" hidden="1" x14ac:dyDescent="0.45">
      <c r="A583" s="68" t="str">
        <f>Traduction!C328</f>
        <v>Nom de la société propriétaire (les informations doivent être inscrites dans les sections précédentes pour être inclus dans le menu déroulant)</v>
      </c>
      <c r="B583" s="138"/>
      <c r="C583" s="139"/>
      <c r="D583" s="8" t="b">
        <f t="shared" si="43"/>
        <v>0</v>
      </c>
    </row>
    <row r="584" spans="1:4" hidden="1" x14ac:dyDescent="0.45">
      <c r="A584" s="2" t="str">
        <f>Traduction!C329</f>
        <v>Pourcentage détenu par la société (%)</v>
      </c>
      <c r="B584" s="161">
        <v>1</v>
      </c>
      <c r="C584" s="152"/>
      <c r="D584" s="8" t="b">
        <f t="shared" si="43"/>
        <v>0</v>
      </c>
    </row>
    <row r="585" spans="1:4" hidden="1" x14ac:dyDescent="0.45">
      <c r="A585" s="2" t="str">
        <f>Traduction!C162</f>
        <v>Valeur marchande bâtiment</v>
      </c>
      <c r="B585" s="158"/>
      <c r="C585" s="154"/>
      <c r="D585" s="8" t="b">
        <f t="shared" si="43"/>
        <v>0</v>
      </c>
    </row>
    <row r="586" spans="1:4" hidden="1" x14ac:dyDescent="0.45">
      <c r="A586" s="2" t="str">
        <f>Traduction!C163</f>
        <v>Prix de base rajusté du bâtiment</v>
      </c>
      <c r="B586" s="158" t="str">
        <f>IF(OR(B581="Oui",B581="Yes"),Traduction!C387,"")</f>
        <v/>
      </c>
      <c r="C586" s="154"/>
      <c r="D586" s="8" t="b">
        <f t="shared" si="43"/>
        <v>0</v>
      </c>
    </row>
    <row r="587" spans="1:4" hidden="1" x14ac:dyDescent="0.45">
      <c r="A587" s="2" t="str">
        <f>Traduction!C164</f>
        <v>FNACC bâtiment</v>
      </c>
      <c r="B587" s="158" t="str">
        <f>IF(OR(B581="Oui",B581="Yes"),Traduction!C387,"")</f>
        <v/>
      </c>
      <c r="C587" s="154"/>
      <c r="D587" s="8" t="b">
        <f t="shared" si="43"/>
        <v>0</v>
      </c>
    </row>
    <row r="588" spans="1:4" hidden="1" x14ac:dyDescent="0.45">
      <c r="A588" s="2" t="str">
        <f>Traduction!C165</f>
        <v>Valeur marchande terrain</v>
      </c>
      <c r="B588" s="148"/>
      <c r="C588" s="149"/>
      <c r="D588" s="8" t="b">
        <f t="shared" si="43"/>
        <v>0</v>
      </c>
    </row>
    <row r="589" spans="1:4" hidden="1" x14ac:dyDescent="0.45">
      <c r="A589" s="2" t="str">
        <f>Traduction!C166</f>
        <v>Prix de base rajusté terrain</v>
      </c>
      <c r="B589" s="158" t="str">
        <f>IF(OR(B581="Oui",B581="Yes"),Traduction!C387,"")</f>
        <v/>
      </c>
      <c r="C589" s="154"/>
      <c r="D589" s="8" t="b">
        <f t="shared" si="43"/>
        <v>0</v>
      </c>
    </row>
    <row r="590" spans="1:4" hidden="1" x14ac:dyDescent="0.45">
      <c r="A590" s="2" t="str">
        <f>Traduction!C167</f>
        <v>Année de vente de l'immeuble</v>
      </c>
      <c r="B590" s="138"/>
      <c r="C590" s="139"/>
      <c r="D590" s="8" t="b">
        <f t="shared" si="43"/>
        <v>0</v>
      </c>
    </row>
    <row r="591" spans="1:4" hidden="1" x14ac:dyDescent="0.45">
      <c r="A591" s="2" t="str">
        <f>Traduction!C168</f>
        <v>Solde hypohécaire</v>
      </c>
      <c r="B591" s="189" t="str">
        <f>IF(OR(B581="Oui",B581="Yes"),Traduction!C387,"")</f>
        <v/>
      </c>
      <c r="C591" s="190"/>
      <c r="D591" s="8" t="b">
        <f t="shared" si="43"/>
        <v>0</v>
      </c>
    </row>
    <row r="592" spans="1:4" hidden="1" x14ac:dyDescent="0.45">
      <c r="A592" s="2" t="str">
        <f>Traduction!C169</f>
        <v>Date de fin du paiement hypothécaire (aaaa-mm-jj)</v>
      </c>
      <c r="B592" s="138"/>
      <c r="C592" s="139"/>
      <c r="D592" s="8" t="b">
        <f t="shared" si="43"/>
        <v>0</v>
      </c>
    </row>
    <row r="593" spans="1:4" hidden="1" x14ac:dyDescent="0.45">
      <c r="A593" s="2" t="str">
        <f>Traduction!C170</f>
        <v>Taux d'intérêt sur le prêt hypothécaire (%)</v>
      </c>
      <c r="B593" s="161" t="str">
        <f>IF(OR(B581="Oui",B581="Yes"),Traduction!C387,"")</f>
        <v/>
      </c>
      <c r="C593" s="152"/>
      <c r="D593" s="8" t="b">
        <f t="shared" si="43"/>
        <v>0</v>
      </c>
    </row>
    <row r="594" spans="1:4" hidden="1" x14ac:dyDescent="0.45">
      <c r="A594" s="2" t="str">
        <f>Traduction!C171</f>
        <v>Revenu de location net avant déduction des intérêts sur le prêt et avant amortissement</v>
      </c>
      <c r="B594" s="158" t="str">
        <f>IF(OR(B581="Oui",B581="Yes"),Traduction!C387,"")</f>
        <v/>
      </c>
      <c r="C594" s="154"/>
      <c r="D594" s="8" t="b">
        <f t="shared" si="43"/>
        <v>0</v>
      </c>
    </row>
    <row r="595" spans="1:4" hidden="1" x14ac:dyDescent="0.45">
      <c r="A595" s="145" t="str">
        <f>Traduction!C154</f>
        <v>Immeuble 6</v>
      </c>
      <c r="B595" s="146"/>
      <c r="C595" s="147"/>
    </row>
    <row r="596" spans="1:4" hidden="1" x14ac:dyDescent="0.45">
      <c r="A596" s="2" t="str">
        <f>Traduction!C173</f>
        <v>Je joins une copie des états financiers de la société propriétaire</v>
      </c>
      <c r="B596" s="138"/>
      <c r="C596" s="139"/>
      <c r="D596" s="8" t="b">
        <f t="shared" ref="D596:D609" si="44">IF(NbImmeublesCorpo&gt;=6,IF(B596="",TRUE))</f>
        <v>0</v>
      </c>
    </row>
    <row r="597" spans="1:4" hidden="1" x14ac:dyDescent="0.45">
      <c r="A597" s="2" t="str">
        <f>Traduction!C160</f>
        <v>Nom ou adresse</v>
      </c>
      <c r="B597" s="138"/>
      <c r="C597" s="139"/>
      <c r="D597" s="8" t="b">
        <f t="shared" si="44"/>
        <v>0</v>
      </c>
    </row>
    <row r="598" spans="1:4" ht="28.5" hidden="1" x14ac:dyDescent="0.45">
      <c r="A598" s="68" t="str">
        <f>Traduction!C328</f>
        <v>Nom de la société propriétaire (les informations doivent être inscrites dans les sections précédentes pour être inclus dans le menu déroulant)</v>
      </c>
      <c r="B598" s="138"/>
      <c r="C598" s="139"/>
      <c r="D598" s="8" t="b">
        <f t="shared" si="44"/>
        <v>0</v>
      </c>
    </row>
    <row r="599" spans="1:4" hidden="1" x14ac:dyDescent="0.45">
      <c r="A599" s="2" t="str">
        <f>Traduction!C329</f>
        <v>Pourcentage détenu par la société (%)</v>
      </c>
      <c r="B599" s="161">
        <v>1</v>
      </c>
      <c r="C599" s="152"/>
      <c r="D599" s="8" t="b">
        <f t="shared" si="44"/>
        <v>0</v>
      </c>
    </row>
    <row r="600" spans="1:4" hidden="1" x14ac:dyDescent="0.45">
      <c r="A600" s="2" t="str">
        <f>Traduction!C162</f>
        <v>Valeur marchande bâtiment</v>
      </c>
      <c r="B600" s="158"/>
      <c r="C600" s="154"/>
      <c r="D600" s="8" t="b">
        <f t="shared" si="44"/>
        <v>0</v>
      </c>
    </row>
    <row r="601" spans="1:4" hidden="1" x14ac:dyDescent="0.45">
      <c r="A601" s="2" t="str">
        <f>Traduction!C163</f>
        <v>Prix de base rajusté du bâtiment</v>
      </c>
      <c r="B601" s="158" t="str">
        <f>IF(OR(B596="Oui",B596="Yes"),Traduction!C402,"")</f>
        <v/>
      </c>
      <c r="C601" s="154"/>
      <c r="D601" s="8" t="b">
        <f t="shared" si="44"/>
        <v>0</v>
      </c>
    </row>
    <row r="602" spans="1:4" hidden="1" x14ac:dyDescent="0.45">
      <c r="A602" s="2" t="str">
        <f>Traduction!C164</f>
        <v>FNACC bâtiment</v>
      </c>
      <c r="B602" s="158" t="str">
        <f>IF(OR(B596="Oui",B596="Yes"),Traduction!C402,"")</f>
        <v/>
      </c>
      <c r="C602" s="154"/>
      <c r="D602" s="8" t="b">
        <f t="shared" si="44"/>
        <v>0</v>
      </c>
    </row>
    <row r="603" spans="1:4" hidden="1" x14ac:dyDescent="0.45">
      <c r="A603" s="2" t="str">
        <f>Traduction!C165</f>
        <v>Valeur marchande terrain</v>
      </c>
      <c r="B603" s="148"/>
      <c r="C603" s="149"/>
      <c r="D603" s="8" t="b">
        <f t="shared" si="44"/>
        <v>0</v>
      </c>
    </row>
    <row r="604" spans="1:4" hidden="1" x14ac:dyDescent="0.45">
      <c r="A604" s="2" t="str">
        <f>Traduction!C166</f>
        <v>Prix de base rajusté terrain</v>
      </c>
      <c r="B604" s="158" t="str">
        <f>IF(OR(B596="Oui",B596="Yes"),Traduction!C402,"")</f>
        <v/>
      </c>
      <c r="C604" s="154"/>
      <c r="D604" s="8" t="b">
        <f t="shared" si="44"/>
        <v>0</v>
      </c>
    </row>
    <row r="605" spans="1:4" hidden="1" x14ac:dyDescent="0.45">
      <c r="A605" s="2" t="str">
        <f>Traduction!C167</f>
        <v>Année de vente de l'immeuble</v>
      </c>
      <c r="B605" s="138"/>
      <c r="C605" s="139"/>
      <c r="D605" s="8" t="b">
        <f t="shared" si="44"/>
        <v>0</v>
      </c>
    </row>
    <row r="606" spans="1:4" hidden="1" x14ac:dyDescent="0.45">
      <c r="A606" s="2" t="str">
        <f>Traduction!C168</f>
        <v>Solde hypohécaire</v>
      </c>
      <c r="B606" s="189" t="str">
        <f>IF(OR(B596="Oui",B596="Yes"),Traduction!C402,"")</f>
        <v/>
      </c>
      <c r="C606" s="190"/>
      <c r="D606" s="8" t="b">
        <f t="shared" si="44"/>
        <v>0</v>
      </c>
    </row>
    <row r="607" spans="1:4" hidden="1" x14ac:dyDescent="0.45">
      <c r="A607" s="2" t="str">
        <f>Traduction!C169</f>
        <v>Date de fin du paiement hypothécaire (aaaa-mm-jj)</v>
      </c>
      <c r="B607" s="138"/>
      <c r="C607" s="139"/>
      <c r="D607" s="8" t="b">
        <f t="shared" si="44"/>
        <v>0</v>
      </c>
    </row>
    <row r="608" spans="1:4" hidden="1" x14ac:dyDescent="0.45">
      <c r="A608" s="2" t="str">
        <f>Traduction!C170</f>
        <v>Taux d'intérêt sur le prêt hypothécaire (%)</v>
      </c>
      <c r="B608" s="161" t="str">
        <f>IF(OR(B596="Oui",B596="Yes"),Traduction!C402,"")</f>
        <v/>
      </c>
      <c r="C608" s="152"/>
      <c r="D608" s="8" t="b">
        <f t="shared" si="44"/>
        <v>0</v>
      </c>
    </row>
    <row r="609" spans="1:4" hidden="1" x14ac:dyDescent="0.45">
      <c r="A609" s="2" t="str">
        <f>Traduction!C171</f>
        <v>Revenu de location net avant déduction des intérêts sur le prêt et avant amortissement</v>
      </c>
      <c r="B609" s="158" t="str">
        <f>IF(OR(B596="Oui",B596="Yes"),Traduction!C402,"")</f>
        <v/>
      </c>
      <c r="C609" s="154"/>
      <c r="D609" s="8" t="b">
        <f t="shared" si="44"/>
        <v>0</v>
      </c>
    </row>
    <row r="610" spans="1:4" hidden="1" x14ac:dyDescent="0.45">
      <c r="A610" s="145" t="str">
        <f>Traduction!C155</f>
        <v>Immeuble 7</v>
      </c>
      <c r="B610" s="146"/>
      <c r="C610" s="147"/>
    </row>
    <row r="611" spans="1:4" hidden="1" x14ac:dyDescent="0.45">
      <c r="A611" s="2" t="str">
        <f>Traduction!C173</f>
        <v>Je joins une copie des états financiers de la société propriétaire</v>
      </c>
      <c r="B611" s="138"/>
      <c r="C611" s="139"/>
      <c r="D611" s="8" t="b">
        <f t="shared" ref="D611:D624" si="45">IF(NbImmeublesCorpo&gt;=7,IF(B611="",TRUE))</f>
        <v>0</v>
      </c>
    </row>
    <row r="612" spans="1:4" hidden="1" x14ac:dyDescent="0.45">
      <c r="A612" s="2" t="str">
        <f>Traduction!C160</f>
        <v>Nom ou adresse</v>
      </c>
      <c r="B612" s="138"/>
      <c r="C612" s="139"/>
      <c r="D612" s="8" t="b">
        <f t="shared" si="45"/>
        <v>0</v>
      </c>
    </row>
    <row r="613" spans="1:4" ht="28.5" hidden="1" x14ac:dyDescent="0.45">
      <c r="A613" s="68" t="str">
        <f>Traduction!C328</f>
        <v>Nom de la société propriétaire (les informations doivent être inscrites dans les sections précédentes pour être inclus dans le menu déroulant)</v>
      </c>
      <c r="B613" s="138"/>
      <c r="C613" s="139"/>
      <c r="D613" s="8" t="b">
        <f t="shared" si="45"/>
        <v>0</v>
      </c>
    </row>
    <row r="614" spans="1:4" hidden="1" x14ac:dyDescent="0.45">
      <c r="A614" s="2" t="str">
        <f>Traduction!C329</f>
        <v>Pourcentage détenu par la société (%)</v>
      </c>
      <c r="B614" s="161">
        <v>1</v>
      </c>
      <c r="C614" s="152"/>
      <c r="D614" s="8" t="b">
        <f t="shared" si="45"/>
        <v>0</v>
      </c>
    </row>
    <row r="615" spans="1:4" hidden="1" x14ac:dyDescent="0.45">
      <c r="A615" s="2" t="str">
        <f>Traduction!C162</f>
        <v>Valeur marchande bâtiment</v>
      </c>
      <c r="B615" s="158"/>
      <c r="C615" s="154"/>
      <c r="D615" s="8" t="b">
        <f t="shared" si="45"/>
        <v>0</v>
      </c>
    </row>
    <row r="616" spans="1:4" hidden="1" x14ac:dyDescent="0.45">
      <c r="A616" s="2" t="str">
        <f>Traduction!C163</f>
        <v>Prix de base rajusté du bâtiment</v>
      </c>
      <c r="B616" s="158" t="str">
        <f>IF(OR(B611="Oui",B611="Yes"),Traduction!C417,"")</f>
        <v/>
      </c>
      <c r="C616" s="154"/>
      <c r="D616" s="8" t="b">
        <f t="shared" si="45"/>
        <v>0</v>
      </c>
    </row>
    <row r="617" spans="1:4" hidden="1" x14ac:dyDescent="0.45">
      <c r="A617" s="2" t="str">
        <f>Traduction!C164</f>
        <v>FNACC bâtiment</v>
      </c>
      <c r="B617" s="158" t="str">
        <f>IF(OR(B611="Oui",B611="Yes"),Traduction!C417,"")</f>
        <v/>
      </c>
      <c r="C617" s="154"/>
      <c r="D617" s="8" t="b">
        <f t="shared" si="45"/>
        <v>0</v>
      </c>
    </row>
    <row r="618" spans="1:4" hidden="1" x14ac:dyDescent="0.45">
      <c r="A618" s="2" t="str">
        <f>Traduction!C165</f>
        <v>Valeur marchande terrain</v>
      </c>
      <c r="B618" s="148"/>
      <c r="C618" s="149"/>
      <c r="D618" s="8" t="b">
        <f t="shared" si="45"/>
        <v>0</v>
      </c>
    </row>
    <row r="619" spans="1:4" hidden="1" x14ac:dyDescent="0.45">
      <c r="A619" s="2" t="str">
        <f>Traduction!C166</f>
        <v>Prix de base rajusté terrain</v>
      </c>
      <c r="B619" s="158" t="str">
        <f>IF(OR(B611="Oui",B611="Yes"),Traduction!C417,"")</f>
        <v/>
      </c>
      <c r="C619" s="154"/>
      <c r="D619" s="8" t="b">
        <f t="shared" si="45"/>
        <v>0</v>
      </c>
    </row>
    <row r="620" spans="1:4" hidden="1" x14ac:dyDescent="0.45">
      <c r="A620" s="2" t="str">
        <f>Traduction!C167</f>
        <v>Année de vente de l'immeuble</v>
      </c>
      <c r="B620" s="138"/>
      <c r="C620" s="139"/>
      <c r="D620" s="8" t="b">
        <f t="shared" si="45"/>
        <v>0</v>
      </c>
    </row>
    <row r="621" spans="1:4" hidden="1" x14ac:dyDescent="0.45">
      <c r="A621" s="2" t="str">
        <f>Traduction!C168</f>
        <v>Solde hypohécaire</v>
      </c>
      <c r="B621" s="189" t="str">
        <f>IF(OR(B611="Oui",B611="Yes"),Traduction!C417,"")</f>
        <v/>
      </c>
      <c r="C621" s="190"/>
      <c r="D621" s="8" t="b">
        <f t="shared" si="45"/>
        <v>0</v>
      </c>
    </row>
    <row r="622" spans="1:4" hidden="1" x14ac:dyDescent="0.45">
      <c r="A622" s="2" t="str">
        <f>Traduction!C169</f>
        <v>Date de fin du paiement hypothécaire (aaaa-mm-jj)</v>
      </c>
      <c r="B622" s="138"/>
      <c r="C622" s="139"/>
      <c r="D622" s="8" t="b">
        <f t="shared" si="45"/>
        <v>0</v>
      </c>
    </row>
    <row r="623" spans="1:4" hidden="1" x14ac:dyDescent="0.45">
      <c r="A623" s="2" t="str">
        <f>Traduction!C170</f>
        <v>Taux d'intérêt sur le prêt hypothécaire (%)</v>
      </c>
      <c r="B623" s="161" t="str">
        <f>IF(OR(B611="Oui",B611="Yes"),Traduction!C417,"")</f>
        <v/>
      </c>
      <c r="C623" s="152"/>
      <c r="D623" s="8" t="b">
        <f t="shared" si="45"/>
        <v>0</v>
      </c>
    </row>
    <row r="624" spans="1:4" hidden="1" x14ac:dyDescent="0.45">
      <c r="A624" s="2" t="str">
        <f>Traduction!C171</f>
        <v>Revenu de location net avant déduction des intérêts sur le prêt et avant amortissement</v>
      </c>
      <c r="B624" s="158" t="str">
        <f>IF(OR(B611="Oui",B611="Yes"),Traduction!C417,"")</f>
        <v/>
      </c>
      <c r="C624" s="154"/>
      <c r="D624" s="8" t="b">
        <f t="shared" si="45"/>
        <v>0</v>
      </c>
    </row>
    <row r="625" spans="1:4" hidden="1" x14ac:dyDescent="0.45">
      <c r="A625" s="145" t="str">
        <f>Traduction!C156</f>
        <v>Immeuble 8</v>
      </c>
      <c r="B625" s="146"/>
      <c r="C625" s="147"/>
    </row>
    <row r="626" spans="1:4" hidden="1" x14ac:dyDescent="0.45">
      <c r="A626" s="2" t="str">
        <f>Traduction!C173</f>
        <v>Je joins une copie des états financiers de la société propriétaire</v>
      </c>
      <c r="B626" s="138"/>
      <c r="C626" s="139"/>
      <c r="D626" s="8" t="b">
        <f t="shared" ref="D626:D639" si="46">IF(NbImmeublesCorpo&gt;=8,IF(B626="",TRUE))</f>
        <v>0</v>
      </c>
    </row>
    <row r="627" spans="1:4" hidden="1" x14ac:dyDescent="0.45">
      <c r="A627" s="2" t="str">
        <f>Traduction!C160</f>
        <v>Nom ou adresse</v>
      </c>
      <c r="B627" s="138"/>
      <c r="C627" s="139"/>
      <c r="D627" s="8" t="b">
        <f t="shared" si="46"/>
        <v>0</v>
      </c>
    </row>
    <row r="628" spans="1:4" ht="28.5" hidden="1" x14ac:dyDescent="0.45">
      <c r="A628" s="68" t="str">
        <f>Traduction!C328</f>
        <v>Nom de la société propriétaire (les informations doivent être inscrites dans les sections précédentes pour être inclus dans le menu déroulant)</v>
      </c>
      <c r="B628" s="138"/>
      <c r="C628" s="139"/>
      <c r="D628" s="8" t="b">
        <f t="shared" si="46"/>
        <v>0</v>
      </c>
    </row>
    <row r="629" spans="1:4" hidden="1" x14ac:dyDescent="0.45">
      <c r="A629" s="2" t="str">
        <f>Traduction!C329</f>
        <v>Pourcentage détenu par la société (%)</v>
      </c>
      <c r="B629" s="161">
        <v>1</v>
      </c>
      <c r="C629" s="152"/>
      <c r="D629" s="8" t="b">
        <f t="shared" si="46"/>
        <v>0</v>
      </c>
    </row>
    <row r="630" spans="1:4" hidden="1" x14ac:dyDescent="0.45">
      <c r="A630" s="2" t="str">
        <f>Traduction!C162</f>
        <v>Valeur marchande bâtiment</v>
      </c>
      <c r="B630" s="158"/>
      <c r="C630" s="154"/>
      <c r="D630" s="8" t="b">
        <f t="shared" si="46"/>
        <v>0</v>
      </c>
    </row>
    <row r="631" spans="1:4" hidden="1" x14ac:dyDescent="0.45">
      <c r="A631" s="2" t="str">
        <f>Traduction!C163</f>
        <v>Prix de base rajusté du bâtiment</v>
      </c>
      <c r="B631" s="158" t="str">
        <f>IF(OR(B626="Oui",B626="Yes"),Traduction!C432,"")</f>
        <v/>
      </c>
      <c r="C631" s="154"/>
      <c r="D631" s="8" t="b">
        <f t="shared" si="46"/>
        <v>0</v>
      </c>
    </row>
    <row r="632" spans="1:4" hidden="1" x14ac:dyDescent="0.45">
      <c r="A632" s="2" t="str">
        <f>Traduction!C164</f>
        <v>FNACC bâtiment</v>
      </c>
      <c r="B632" s="158" t="str">
        <f>IF(OR(B626="Oui",B626="Yes"),Traduction!C432,"")</f>
        <v/>
      </c>
      <c r="C632" s="154"/>
      <c r="D632" s="8" t="b">
        <f t="shared" si="46"/>
        <v>0</v>
      </c>
    </row>
    <row r="633" spans="1:4" hidden="1" x14ac:dyDescent="0.45">
      <c r="A633" s="2" t="str">
        <f>Traduction!C165</f>
        <v>Valeur marchande terrain</v>
      </c>
      <c r="B633" s="148"/>
      <c r="C633" s="149"/>
      <c r="D633" s="8" t="b">
        <f t="shared" si="46"/>
        <v>0</v>
      </c>
    </row>
    <row r="634" spans="1:4" hidden="1" x14ac:dyDescent="0.45">
      <c r="A634" s="2" t="str">
        <f>Traduction!C166</f>
        <v>Prix de base rajusté terrain</v>
      </c>
      <c r="B634" s="158" t="str">
        <f>IF(OR(B626="Oui",B626="Yes"),Traduction!C432,"")</f>
        <v/>
      </c>
      <c r="C634" s="154"/>
      <c r="D634" s="8" t="b">
        <f t="shared" si="46"/>
        <v>0</v>
      </c>
    </row>
    <row r="635" spans="1:4" hidden="1" x14ac:dyDescent="0.45">
      <c r="A635" s="2" t="str">
        <f>Traduction!C167</f>
        <v>Année de vente de l'immeuble</v>
      </c>
      <c r="B635" s="138"/>
      <c r="C635" s="139"/>
      <c r="D635" s="8" t="b">
        <f t="shared" si="46"/>
        <v>0</v>
      </c>
    </row>
    <row r="636" spans="1:4" hidden="1" x14ac:dyDescent="0.45">
      <c r="A636" s="2" t="str">
        <f>Traduction!C168</f>
        <v>Solde hypohécaire</v>
      </c>
      <c r="B636" s="189" t="str">
        <f>IF(OR(B626="Oui",B626="Yes"),Traduction!C432,"")</f>
        <v/>
      </c>
      <c r="C636" s="190"/>
      <c r="D636" s="8" t="b">
        <f t="shared" si="46"/>
        <v>0</v>
      </c>
    </row>
    <row r="637" spans="1:4" hidden="1" x14ac:dyDescent="0.45">
      <c r="A637" s="2" t="str">
        <f>Traduction!C169</f>
        <v>Date de fin du paiement hypothécaire (aaaa-mm-jj)</v>
      </c>
      <c r="B637" s="138"/>
      <c r="C637" s="139"/>
      <c r="D637" s="8" t="b">
        <f t="shared" si="46"/>
        <v>0</v>
      </c>
    </row>
    <row r="638" spans="1:4" hidden="1" x14ac:dyDescent="0.45">
      <c r="A638" s="2" t="str">
        <f>Traduction!C170</f>
        <v>Taux d'intérêt sur le prêt hypothécaire (%)</v>
      </c>
      <c r="B638" s="161" t="str">
        <f>IF(OR(B626="Oui",B626="Yes"),Traduction!C432,"")</f>
        <v/>
      </c>
      <c r="C638" s="152"/>
      <c r="D638" s="8" t="b">
        <f t="shared" si="46"/>
        <v>0</v>
      </c>
    </row>
    <row r="639" spans="1:4" hidden="1" x14ac:dyDescent="0.45">
      <c r="A639" s="2" t="str">
        <f>Traduction!C171</f>
        <v>Revenu de location net avant déduction des intérêts sur le prêt et avant amortissement</v>
      </c>
      <c r="B639" s="158" t="str">
        <f>IF(OR(B626="Oui",B626="Yes"),Traduction!C432,"")</f>
        <v/>
      </c>
      <c r="C639" s="154"/>
      <c r="D639" s="8" t="b">
        <f t="shared" si="46"/>
        <v>0</v>
      </c>
    </row>
    <row r="640" spans="1:4" hidden="1" x14ac:dyDescent="0.45">
      <c r="A640" s="145" t="str">
        <f>Traduction!C157</f>
        <v>Immeuble 9</v>
      </c>
      <c r="B640" s="146"/>
      <c r="C640" s="147"/>
    </row>
    <row r="641" spans="1:4" hidden="1" x14ac:dyDescent="0.45">
      <c r="A641" s="2" t="str">
        <f>Traduction!C173</f>
        <v>Je joins une copie des états financiers de la société propriétaire</v>
      </c>
      <c r="B641" s="138"/>
      <c r="C641" s="139"/>
      <c r="D641" s="8" t="b">
        <f t="shared" ref="D641:D654" si="47">IF(NbImmeublesCorpo&gt;=9,IF(B641="",TRUE))</f>
        <v>0</v>
      </c>
    </row>
    <row r="642" spans="1:4" hidden="1" x14ac:dyDescent="0.45">
      <c r="A642" s="2" t="str">
        <f>Traduction!C160</f>
        <v>Nom ou adresse</v>
      </c>
      <c r="B642" s="138"/>
      <c r="C642" s="139"/>
      <c r="D642" s="8" t="b">
        <f t="shared" si="47"/>
        <v>0</v>
      </c>
    </row>
    <row r="643" spans="1:4" ht="28.5" hidden="1" x14ac:dyDescent="0.45">
      <c r="A643" s="68" t="str">
        <f>Traduction!C328</f>
        <v>Nom de la société propriétaire (les informations doivent être inscrites dans les sections précédentes pour être inclus dans le menu déroulant)</v>
      </c>
      <c r="B643" s="138"/>
      <c r="C643" s="139"/>
      <c r="D643" s="8" t="b">
        <f t="shared" si="47"/>
        <v>0</v>
      </c>
    </row>
    <row r="644" spans="1:4" hidden="1" x14ac:dyDescent="0.45">
      <c r="A644" s="2" t="str">
        <f>Traduction!C329</f>
        <v>Pourcentage détenu par la société (%)</v>
      </c>
      <c r="B644" s="161">
        <v>1</v>
      </c>
      <c r="C644" s="152"/>
      <c r="D644" s="8" t="b">
        <f t="shared" si="47"/>
        <v>0</v>
      </c>
    </row>
    <row r="645" spans="1:4" hidden="1" x14ac:dyDescent="0.45">
      <c r="A645" s="2" t="str">
        <f>Traduction!C162</f>
        <v>Valeur marchande bâtiment</v>
      </c>
      <c r="B645" s="158"/>
      <c r="C645" s="154"/>
      <c r="D645" s="8" t="b">
        <f t="shared" si="47"/>
        <v>0</v>
      </c>
    </row>
    <row r="646" spans="1:4" hidden="1" x14ac:dyDescent="0.45">
      <c r="A646" s="2" t="str">
        <f>Traduction!C163</f>
        <v>Prix de base rajusté du bâtiment</v>
      </c>
      <c r="B646" s="158" t="str">
        <f>IF(OR(B641="Oui",B641="Yes"),Traduction!C447,"")</f>
        <v/>
      </c>
      <c r="C646" s="154"/>
      <c r="D646" s="8" t="b">
        <f t="shared" si="47"/>
        <v>0</v>
      </c>
    </row>
    <row r="647" spans="1:4" hidden="1" x14ac:dyDescent="0.45">
      <c r="A647" s="2" t="str">
        <f>Traduction!C164</f>
        <v>FNACC bâtiment</v>
      </c>
      <c r="B647" s="158" t="str">
        <f>IF(OR(B641="Oui",B641="Yes"),Traduction!C447,"")</f>
        <v/>
      </c>
      <c r="C647" s="154"/>
      <c r="D647" s="8" t="b">
        <f t="shared" si="47"/>
        <v>0</v>
      </c>
    </row>
    <row r="648" spans="1:4" hidden="1" x14ac:dyDescent="0.45">
      <c r="A648" s="2" t="str">
        <f>Traduction!C165</f>
        <v>Valeur marchande terrain</v>
      </c>
      <c r="B648" s="148"/>
      <c r="C648" s="149"/>
      <c r="D648" s="8" t="b">
        <f t="shared" si="47"/>
        <v>0</v>
      </c>
    </row>
    <row r="649" spans="1:4" hidden="1" x14ac:dyDescent="0.45">
      <c r="A649" s="2" t="str">
        <f>Traduction!C166</f>
        <v>Prix de base rajusté terrain</v>
      </c>
      <c r="B649" s="158" t="str">
        <f>IF(OR(B641="Oui",B641="Yes"),Traduction!C447,"")</f>
        <v/>
      </c>
      <c r="C649" s="154"/>
      <c r="D649" s="8" t="b">
        <f t="shared" si="47"/>
        <v>0</v>
      </c>
    </row>
    <row r="650" spans="1:4" hidden="1" x14ac:dyDescent="0.45">
      <c r="A650" s="2" t="str">
        <f>Traduction!C167</f>
        <v>Année de vente de l'immeuble</v>
      </c>
      <c r="B650" s="138"/>
      <c r="C650" s="139"/>
      <c r="D650" s="8" t="b">
        <f t="shared" si="47"/>
        <v>0</v>
      </c>
    </row>
    <row r="651" spans="1:4" hidden="1" x14ac:dyDescent="0.45">
      <c r="A651" s="2" t="str">
        <f>Traduction!C168</f>
        <v>Solde hypohécaire</v>
      </c>
      <c r="B651" s="189" t="str">
        <f>IF(OR(B641="Oui",B641="Yes"),Traduction!C447,"")</f>
        <v/>
      </c>
      <c r="C651" s="190"/>
      <c r="D651" s="8" t="b">
        <f t="shared" si="47"/>
        <v>0</v>
      </c>
    </row>
    <row r="652" spans="1:4" hidden="1" x14ac:dyDescent="0.45">
      <c r="A652" s="2" t="str">
        <f>Traduction!C169</f>
        <v>Date de fin du paiement hypothécaire (aaaa-mm-jj)</v>
      </c>
      <c r="B652" s="138"/>
      <c r="C652" s="139"/>
      <c r="D652" s="8" t="b">
        <f t="shared" si="47"/>
        <v>0</v>
      </c>
    </row>
    <row r="653" spans="1:4" hidden="1" x14ac:dyDescent="0.45">
      <c r="A653" s="2" t="str">
        <f>Traduction!C170</f>
        <v>Taux d'intérêt sur le prêt hypothécaire (%)</v>
      </c>
      <c r="B653" s="161" t="str">
        <f>IF(OR(B641="Oui",B641="Yes"),Traduction!C447,"")</f>
        <v/>
      </c>
      <c r="C653" s="152"/>
      <c r="D653" s="8" t="b">
        <f t="shared" si="47"/>
        <v>0</v>
      </c>
    </row>
    <row r="654" spans="1:4" hidden="1" x14ac:dyDescent="0.45">
      <c r="A654" s="2" t="str">
        <f>Traduction!C171</f>
        <v>Revenu de location net avant déduction des intérêts sur le prêt et avant amortissement</v>
      </c>
      <c r="B654" s="158" t="str">
        <f>IF(OR(B641="Oui",B641="Yes"),Traduction!C447,"")</f>
        <v/>
      </c>
      <c r="C654" s="154"/>
      <c r="D654" s="8" t="b">
        <f t="shared" si="47"/>
        <v>0</v>
      </c>
    </row>
    <row r="655" spans="1:4" hidden="1" x14ac:dyDescent="0.45">
      <c r="A655" s="145" t="str">
        <f>Traduction!C158</f>
        <v>Immeuble 10</v>
      </c>
      <c r="B655" s="146"/>
      <c r="C655" s="147"/>
    </row>
    <row r="656" spans="1:4" hidden="1" x14ac:dyDescent="0.45">
      <c r="A656" s="2" t="str">
        <f>Traduction!C173</f>
        <v>Je joins une copie des états financiers de la société propriétaire</v>
      </c>
      <c r="B656" s="138"/>
      <c r="C656" s="139"/>
      <c r="D656" s="8" t="b">
        <f t="shared" ref="D656:D669" si="48">IF(NbImmeublesCorpo&gt;=10,IF(B656="",TRUE))</f>
        <v>0</v>
      </c>
    </row>
    <row r="657" spans="1:4" hidden="1" x14ac:dyDescent="0.45">
      <c r="A657" s="2" t="str">
        <f>Traduction!C160</f>
        <v>Nom ou adresse</v>
      </c>
      <c r="B657" s="138"/>
      <c r="C657" s="139"/>
      <c r="D657" s="8" t="b">
        <f t="shared" si="48"/>
        <v>0</v>
      </c>
    </row>
    <row r="658" spans="1:4" ht="28.5" hidden="1" x14ac:dyDescent="0.45">
      <c r="A658" s="68" t="str">
        <f>Traduction!C328</f>
        <v>Nom de la société propriétaire (les informations doivent être inscrites dans les sections précédentes pour être inclus dans le menu déroulant)</v>
      </c>
      <c r="B658" s="138"/>
      <c r="C658" s="139"/>
      <c r="D658" s="8" t="b">
        <f t="shared" si="48"/>
        <v>0</v>
      </c>
    </row>
    <row r="659" spans="1:4" hidden="1" x14ac:dyDescent="0.45">
      <c r="A659" s="2" t="str">
        <f>Traduction!C329</f>
        <v>Pourcentage détenu par la société (%)</v>
      </c>
      <c r="B659" s="161">
        <v>1</v>
      </c>
      <c r="C659" s="152"/>
      <c r="D659" s="8" t="b">
        <f t="shared" si="48"/>
        <v>0</v>
      </c>
    </row>
    <row r="660" spans="1:4" hidden="1" x14ac:dyDescent="0.45">
      <c r="A660" s="2" t="str">
        <f>Traduction!C162</f>
        <v>Valeur marchande bâtiment</v>
      </c>
      <c r="B660" s="158"/>
      <c r="C660" s="154"/>
      <c r="D660" s="8" t="b">
        <f t="shared" si="48"/>
        <v>0</v>
      </c>
    </row>
    <row r="661" spans="1:4" hidden="1" x14ac:dyDescent="0.45">
      <c r="A661" s="2" t="str">
        <f>Traduction!C163</f>
        <v>Prix de base rajusté du bâtiment</v>
      </c>
      <c r="B661" s="158" t="str">
        <f>IF(OR(B656="Oui",B656="Yes"),Traduction!C462,"")</f>
        <v/>
      </c>
      <c r="C661" s="154"/>
      <c r="D661" s="8" t="b">
        <f t="shared" si="48"/>
        <v>0</v>
      </c>
    </row>
    <row r="662" spans="1:4" hidden="1" x14ac:dyDescent="0.45">
      <c r="A662" s="2" t="str">
        <f>Traduction!C164</f>
        <v>FNACC bâtiment</v>
      </c>
      <c r="B662" s="158" t="str">
        <f>IF(OR(B656="Oui",B656="Yes"),Traduction!C462,"")</f>
        <v/>
      </c>
      <c r="C662" s="154"/>
      <c r="D662" s="8" t="b">
        <f t="shared" si="48"/>
        <v>0</v>
      </c>
    </row>
    <row r="663" spans="1:4" hidden="1" x14ac:dyDescent="0.45">
      <c r="A663" s="2" t="str">
        <f>Traduction!C165</f>
        <v>Valeur marchande terrain</v>
      </c>
      <c r="B663" s="148"/>
      <c r="C663" s="149"/>
      <c r="D663" s="8" t="b">
        <f t="shared" si="48"/>
        <v>0</v>
      </c>
    </row>
    <row r="664" spans="1:4" hidden="1" x14ac:dyDescent="0.45">
      <c r="A664" s="2" t="str">
        <f>Traduction!C166</f>
        <v>Prix de base rajusté terrain</v>
      </c>
      <c r="B664" s="158" t="str">
        <f>IF(OR(B656="Oui",B656="Yes"),Traduction!C462,"")</f>
        <v/>
      </c>
      <c r="C664" s="154"/>
      <c r="D664" s="8" t="b">
        <f t="shared" si="48"/>
        <v>0</v>
      </c>
    </row>
    <row r="665" spans="1:4" hidden="1" x14ac:dyDescent="0.45">
      <c r="A665" s="2" t="str">
        <f>Traduction!C167</f>
        <v>Année de vente de l'immeuble</v>
      </c>
      <c r="B665" s="138"/>
      <c r="C665" s="139"/>
      <c r="D665" s="8" t="b">
        <f t="shared" si="48"/>
        <v>0</v>
      </c>
    </row>
    <row r="666" spans="1:4" hidden="1" x14ac:dyDescent="0.45">
      <c r="A666" s="2" t="str">
        <f>Traduction!C168</f>
        <v>Solde hypohécaire</v>
      </c>
      <c r="B666" s="189" t="str">
        <f>IF(OR(B656="Oui",B656="Yes"),Traduction!C462,"")</f>
        <v/>
      </c>
      <c r="C666" s="190"/>
      <c r="D666" s="8" t="b">
        <f t="shared" si="48"/>
        <v>0</v>
      </c>
    </row>
    <row r="667" spans="1:4" hidden="1" x14ac:dyDescent="0.45">
      <c r="A667" s="2" t="str">
        <f>Traduction!C169</f>
        <v>Date de fin du paiement hypothécaire (aaaa-mm-jj)</v>
      </c>
      <c r="B667" s="138"/>
      <c r="C667" s="139"/>
      <c r="D667" s="8" t="b">
        <f t="shared" si="48"/>
        <v>0</v>
      </c>
    </row>
    <row r="668" spans="1:4" hidden="1" x14ac:dyDescent="0.45">
      <c r="A668" s="2" t="str">
        <f>Traduction!C170</f>
        <v>Taux d'intérêt sur le prêt hypothécaire (%)</v>
      </c>
      <c r="B668" s="161" t="str">
        <f>IF(OR(B656="Oui",B656="Yes"),Traduction!C462,"")</f>
        <v/>
      </c>
      <c r="C668" s="152"/>
      <c r="D668" s="8" t="b">
        <f t="shared" si="48"/>
        <v>0</v>
      </c>
    </row>
    <row r="669" spans="1:4" hidden="1" x14ac:dyDescent="0.45">
      <c r="A669" s="2" t="str">
        <f>Traduction!C171</f>
        <v>Revenu de location net avant déduction des intérêts sur le prêt et avant amortissement</v>
      </c>
      <c r="B669" s="158" t="str">
        <f>IF(OR(B656="Oui",B656="Yes"),Traduction!C462,"")</f>
        <v/>
      </c>
      <c r="C669" s="154"/>
      <c r="D669" s="8" t="b">
        <f t="shared" si="48"/>
        <v>0</v>
      </c>
    </row>
    <row r="670" spans="1:4" ht="14.65" customHeight="1" x14ac:dyDescent="0.45">
      <c r="A670" s="159" t="str">
        <f>Traduction!C174</f>
        <v>Assurance(s) vie personnelle(s)</v>
      </c>
      <c r="B670" s="159"/>
      <c r="C670" s="159"/>
    </row>
    <row r="671" spans="1:4" ht="14.65" customHeight="1" x14ac:dyDescent="0.45">
      <c r="A671" s="160"/>
      <c r="B671" s="160"/>
      <c r="C671" s="160"/>
    </row>
    <row r="672" spans="1:4" x14ac:dyDescent="0.45">
      <c r="A672" s="145" t="str">
        <f>Traduction!C175</f>
        <v>Police 1</v>
      </c>
      <c r="B672" s="146"/>
      <c r="C672" s="147"/>
    </row>
    <row r="673" spans="1:4" x14ac:dyDescent="0.45">
      <c r="A673" s="2" t="str">
        <f>Traduction!C185</f>
        <v>Je joins une copie de l'illustration</v>
      </c>
      <c r="B673" s="138"/>
      <c r="C673" s="139"/>
      <c r="D673" s="8" t="b">
        <f t="shared" ref="D673:D679" si="49">IF(NbAssViePerso&gt;=1,IF(B673="",TRUE))</f>
        <v>1</v>
      </c>
    </row>
    <row r="674" spans="1:4" x14ac:dyDescent="0.45">
      <c r="A674" s="2" t="str">
        <f>Traduction!C186</f>
        <v>Personne assurée</v>
      </c>
      <c r="B674" s="138" t="str">
        <f>IF(OR(B673="Oui",B673="Yes"),Traduction!C327,"")</f>
        <v/>
      </c>
      <c r="C674" s="139"/>
      <c r="D674" s="8" t="b">
        <f t="shared" si="49"/>
        <v>1</v>
      </c>
    </row>
    <row r="675" spans="1:4" x14ac:dyDescent="0.45">
      <c r="A675" s="2" t="s">
        <v>17</v>
      </c>
      <c r="B675" s="138" t="str">
        <f>IF(OR(B673="Oui",B673="Yes"),Traduction!C327,"")</f>
        <v/>
      </c>
      <c r="C675" s="139"/>
      <c r="D675" s="8" t="b">
        <f t="shared" si="49"/>
        <v>1</v>
      </c>
    </row>
    <row r="676" spans="1:4" x14ac:dyDescent="0.45">
      <c r="A676" s="2" t="str">
        <f>Traduction!C187</f>
        <v>Capital décès ($)</v>
      </c>
      <c r="B676" s="158" t="str">
        <f>IF(OR(B673="Oui",B673="Yes"),Traduction!C327,"")</f>
        <v/>
      </c>
      <c r="C676" s="154"/>
      <c r="D676" s="8" t="b">
        <f t="shared" si="49"/>
        <v>1</v>
      </c>
    </row>
    <row r="677" spans="1:4" x14ac:dyDescent="0.45">
      <c r="A677" s="2" t="str">
        <f>Traduction!C188</f>
        <v>Année de fin si temporaire</v>
      </c>
      <c r="B677" s="138" t="str">
        <f>IF(OR(B673="Oui",B673="Yes"),Traduction!C327,"")</f>
        <v/>
      </c>
      <c r="C677" s="139"/>
      <c r="D677" s="8" t="b">
        <f t="shared" si="49"/>
        <v>1</v>
      </c>
    </row>
    <row r="678" spans="1:4" x14ac:dyDescent="0.45">
      <c r="A678" s="2" t="str">
        <f>Traduction!C189</f>
        <v>Taux de croissance de la valeur de rachat si vie universelle (%)</v>
      </c>
      <c r="B678" s="161" t="str">
        <f>IF(OR(B673="Oui",B673="Yes"),Traduction!C327,"")</f>
        <v/>
      </c>
      <c r="C678" s="152"/>
      <c r="D678" s="8" t="b">
        <f t="shared" si="49"/>
        <v>1</v>
      </c>
    </row>
    <row r="679" spans="1:4" x14ac:dyDescent="0.45">
      <c r="A679" s="2" t="str">
        <f>Traduction!C190</f>
        <v>Fonds payable au décès si vie universelle ($)</v>
      </c>
      <c r="B679" s="158"/>
      <c r="C679" s="154"/>
      <c r="D679" s="8" t="b">
        <f t="shared" si="49"/>
        <v>1</v>
      </c>
    </row>
    <row r="680" spans="1:4" hidden="1" x14ac:dyDescent="0.45">
      <c r="A680" s="145" t="str">
        <f>Traduction!C176</f>
        <v>Police 2</v>
      </c>
      <c r="B680" s="146"/>
      <c r="C680" s="147"/>
    </row>
    <row r="681" spans="1:4" hidden="1" x14ac:dyDescent="0.45">
      <c r="A681" s="2" t="str">
        <f>Traduction!C185</f>
        <v>Je joins une copie de l'illustration</v>
      </c>
      <c r="B681" s="138"/>
      <c r="C681" s="139"/>
      <c r="D681" s="8" t="b">
        <f t="shared" ref="D681:D687" si="50">IF(NbAssViePerso&gt;=2,IF(B681="",TRUE))</f>
        <v>0</v>
      </c>
    </row>
    <row r="682" spans="1:4" hidden="1" x14ac:dyDescent="0.45">
      <c r="A682" s="2" t="str">
        <f>Traduction!C186</f>
        <v>Personne assurée</v>
      </c>
      <c r="B682" s="138" t="str">
        <f>IF(OR(B681="Oui",B681="Yes"),Traduction!C327,"")</f>
        <v/>
      </c>
      <c r="C682" s="139"/>
      <c r="D682" s="8" t="b">
        <f t="shared" si="50"/>
        <v>0</v>
      </c>
    </row>
    <row r="683" spans="1:4" hidden="1" x14ac:dyDescent="0.45">
      <c r="A683" s="2" t="s">
        <v>17</v>
      </c>
      <c r="B683" s="138" t="str">
        <f>IF(OR(B681="Oui",B681="Yes"),Traduction!C327,"")</f>
        <v/>
      </c>
      <c r="C683" s="139"/>
      <c r="D683" s="8" t="b">
        <f t="shared" si="50"/>
        <v>0</v>
      </c>
    </row>
    <row r="684" spans="1:4" hidden="1" x14ac:dyDescent="0.45">
      <c r="A684" s="2" t="str">
        <f>Traduction!C187</f>
        <v>Capital décès ($)</v>
      </c>
      <c r="B684" s="158" t="str">
        <f>IF(OR(B681="Oui",B681="Yes"),Traduction!C327,"")</f>
        <v/>
      </c>
      <c r="C684" s="154"/>
      <c r="D684" s="8" t="b">
        <f t="shared" si="50"/>
        <v>0</v>
      </c>
    </row>
    <row r="685" spans="1:4" hidden="1" x14ac:dyDescent="0.45">
      <c r="A685" s="2" t="str">
        <f>Traduction!C188</f>
        <v>Année de fin si temporaire</v>
      </c>
      <c r="B685" s="138" t="str">
        <f>IF(OR(B681="Oui",B681="Yes"),Traduction!C327,"")</f>
        <v/>
      </c>
      <c r="C685" s="139"/>
      <c r="D685" s="8" t="b">
        <f t="shared" si="50"/>
        <v>0</v>
      </c>
    </row>
    <row r="686" spans="1:4" hidden="1" x14ac:dyDescent="0.45">
      <c r="A686" s="2" t="str">
        <f>Traduction!C189</f>
        <v>Taux de croissance de la valeur de rachat si vie universelle (%)</v>
      </c>
      <c r="B686" s="161" t="str">
        <f>IF(OR(B681="Oui",B681="Yes"),Traduction!C327,"")</f>
        <v/>
      </c>
      <c r="C686" s="152"/>
      <c r="D686" s="8" t="b">
        <f t="shared" si="50"/>
        <v>0</v>
      </c>
    </row>
    <row r="687" spans="1:4" hidden="1" x14ac:dyDescent="0.45">
      <c r="A687" s="2" t="str">
        <f>Traduction!C190</f>
        <v>Fonds payable au décès si vie universelle ($)</v>
      </c>
      <c r="B687" s="158"/>
      <c r="C687" s="154"/>
      <c r="D687" s="8" t="b">
        <f t="shared" si="50"/>
        <v>0</v>
      </c>
    </row>
    <row r="688" spans="1:4" hidden="1" x14ac:dyDescent="0.45">
      <c r="A688" s="145" t="str">
        <f>Traduction!C177</f>
        <v>Police 3</v>
      </c>
      <c r="B688" s="146"/>
      <c r="C688" s="147"/>
    </row>
    <row r="689" spans="1:4" hidden="1" x14ac:dyDescent="0.45">
      <c r="A689" s="2" t="str">
        <f>Traduction!C185</f>
        <v>Je joins une copie de l'illustration</v>
      </c>
      <c r="B689" s="138"/>
      <c r="C689" s="139"/>
      <c r="D689" s="8" t="b">
        <f t="shared" ref="D689:D695" si="51">IF(NbAssViePerso&gt;=3,IF(B689="",TRUE))</f>
        <v>0</v>
      </c>
    </row>
    <row r="690" spans="1:4" hidden="1" x14ac:dyDescent="0.45">
      <c r="A690" s="2" t="str">
        <f>Traduction!C186</f>
        <v>Personne assurée</v>
      </c>
      <c r="B690" s="138" t="str">
        <f>IF(OR(B689="Oui",B689="Yes"),Traduction!C327,"")</f>
        <v/>
      </c>
      <c r="C690" s="139"/>
      <c r="D690" s="8" t="b">
        <f t="shared" si="51"/>
        <v>0</v>
      </c>
    </row>
    <row r="691" spans="1:4" hidden="1" x14ac:dyDescent="0.45">
      <c r="A691" s="2" t="s">
        <v>17</v>
      </c>
      <c r="B691" s="138" t="str">
        <f>IF(OR(B689="Oui",B689="Yes"),Traduction!C327,"")</f>
        <v/>
      </c>
      <c r="C691" s="139"/>
      <c r="D691" s="8" t="b">
        <f t="shared" si="51"/>
        <v>0</v>
      </c>
    </row>
    <row r="692" spans="1:4" hidden="1" x14ac:dyDescent="0.45">
      <c r="A692" s="2" t="str">
        <f>Traduction!C187</f>
        <v>Capital décès ($)</v>
      </c>
      <c r="B692" s="158" t="str">
        <f>IF(OR(B689="Oui",B689="Yes"),Traduction!C327,"")</f>
        <v/>
      </c>
      <c r="C692" s="154"/>
      <c r="D692" s="8" t="b">
        <f t="shared" si="51"/>
        <v>0</v>
      </c>
    </row>
    <row r="693" spans="1:4" hidden="1" x14ac:dyDescent="0.45">
      <c r="A693" s="2" t="str">
        <f>Traduction!C188</f>
        <v>Année de fin si temporaire</v>
      </c>
      <c r="B693" s="138" t="str">
        <f>IF(OR(B689="Oui",B689="Yes"),Traduction!C327,"")</f>
        <v/>
      </c>
      <c r="C693" s="139"/>
      <c r="D693" s="8" t="b">
        <f t="shared" si="51"/>
        <v>0</v>
      </c>
    </row>
    <row r="694" spans="1:4" hidden="1" x14ac:dyDescent="0.45">
      <c r="A694" s="2" t="str">
        <f>Traduction!C189</f>
        <v>Taux de croissance de la valeur de rachat si vie universelle (%)</v>
      </c>
      <c r="B694" s="161" t="str">
        <f>IF(OR(B689="Oui",B689="Yes"),Traduction!C327,"")</f>
        <v/>
      </c>
      <c r="C694" s="152"/>
      <c r="D694" s="8" t="b">
        <f t="shared" si="51"/>
        <v>0</v>
      </c>
    </row>
    <row r="695" spans="1:4" hidden="1" x14ac:dyDescent="0.45">
      <c r="A695" s="2" t="str">
        <f>Traduction!C190</f>
        <v>Fonds payable au décès si vie universelle ($)</v>
      </c>
      <c r="B695" s="158"/>
      <c r="C695" s="154"/>
      <c r="D695" s="8" t="b">
        <f t="shared" si="51"/>
        <v>0</v>
      </c>
    </row>
    <row r="696" spans="1:4" hidden="1" x14ac:dyDescent="0.45">
      <c r="A696" s="145" t="str">
        <f>Traduction!C178</f>
        <v>Police 4</v>
      </c>
      <c r="B696" s="146"/>
      <c r="C696" s="147"/>
    </row>
    <row r="697" spans="1:4" hidden="1" x14ac:dyDescent="0.45">
      <c r="A697" s="2" t="str">
        <f>Traduction!C185</f>
        <v>Je joins une copie de l'illustration</v>
      </c>
      <c r="B697" s="138"/>
      <c r="C697" s="139"/>
      <c r="D697" s="8" t="b">
        <f t="shared" ref="D697:D703" si="52">IF(NbAssViePerso&gt;=4,IF(B697="",TRUE))</f>
        <v>0</v>
      </c>
    </row>
    <row r="698" spans="1:4" hidden="1" x14ac:dyDescent="0.45">
      <c r="A698" s="2" t="str">
        <f>Traduction!C186</f>
        <v>Personne assurée</v>
      </c>
      <c r="B698" s="138" t="str">
        <f>IF(OR(B697="Oui",B697="Yes"),Traduction!C327,"")</f>
        <v/>
      </c>
      <c r="C698" s="139"/>
      <c r="D698" s="8" t="b">
        <f t="shared" si="52"/>
        <v>0</v>
      </c>
    </row>
    <row r="699" spans="1:4" hidden="1" x14ac:dyDescent="0.45">
      <c r="A699" s="2" t="s">
        <v>17</v>
      </c>
      <c r="B699" s="138" t="str">
        <f>IF(OR(B697="Oui",B697="Yes"),Traduction!C327,"")</f>
        <v/>
      </c>
      <c r="C699" s="139"/>
      <c r="D699" s="8" t="b">
        <f t="shared" si="52"/>
        <v>0</v>
      </c>
    </row>
    <row r="700" spans="1:4" hidden="1" x14ac:dyDescent="0.45">
      <c r="A700" s="2" t="str">
        <f>Traduction!C187</f>
        <v>Capital décès ($)</v>
      </c>
      <c r="B700" s="158" t="str">
        <f>IF(OR(B697="Oui",B697="Yes"),Traduction!C327,"")</f>
        <v/>
      </c>
      <c r="C700" s="154"/>
      <c r="D700" s="8" t="b">
        <f t="shared" si="52"/>
        <v>0</v>
      </c>
    </row>
    <row r="701" spans="1:4" hidden="1" x14ac:dyDescent="0.45">
      <c r="A701" s="2" t="str">
        <f>Traduction!C188</f>
        <v>Année de fin si temporaire</v>
      </c>
      <c r="B701" s="138" t="str">
        <f>IF(OR(B697="Oui",B697="Yes"),Traduction!C327,"")</f>
        <v/>
      </c>
      <c r="C701" s="139"/>
      <c r="D701" s="8" t="b">
        <f t="shared" si="52"/>
        <v>0</v>
      </c>
    </row>
    <row r="702" spans="1:4" hidden="1" x14ac:dyDescent="0.45">
      <c r="A702" s="2" t="str">
        <f>Traduction!C189</f>
        <v>Taux de croissance de la valeur de rachat si vie universelle (%)</v>
      </c>
      <c r="B702" s="161" t="str">
        <f>IF(OR(B697="Oui",B697="Yes"),Traduction!C327,"")</f>
        <v/>
      </c>
      <c r="C702" s="152"/>
      <c r="D702" s="8" t="b">
        <f t="shared" si="52"/>
        <v>0</v>
      </c>
    </row>
    <row r="703" spans="1:4" hidden="1" x14ac:dyDescent="0.45">
      <c r="A703" s="2" t="str">
        <f>Traduction!C190</f>
        <v>Fonds payable au décès si vie universelle ($)</v>
      </c>
      <c r="B703" s="158"/>
      <c r="C703" s="154"/>
      <c r="D703" s="8" t="b">
        <f t="shared" si="52"/>
        <v>0</v>
      </c>
    </row>
    <row r="704" spans="1:4" hidden="1" x14ac:dyDescent="0.45">
      <c r="A704" s="145" t="str">
        <f>Traduction!C179</f>
        <v>Police 5</v>
      </c>
      <c r="B704" s="146"/>
      <c r="C704" s="147"/>
    </row>
    <row r="705" spans="1:4" hidden="1" x14ac:dyDescent="0.45">
      <c r="A705" s="2" t="str">
        <f>Traduction!C185</f>
        <v>Je joins une copie de l'illustration</v>
      </c>
      <c r="B705" s="138"/>
      <c r="C705" s="139"/>
      <c r="D705" s="8" t="b">
        <f t="shared" ref="D705:D711" si="53">IF(NbAssViePerso&gt;=5,IF(B705="",TRUE))</f>
        <v>0</v>
      </c>
    </row>
    <row r="706" spans="1:4" hidden="1" x14ac:dyDescent="0.45">
      <c r="A706" s="2" t="str">
        <f>Traduction!C186</f>
        <v>Personne assurée</v>
      </c>
      <c r="B706" s="138" t="str">
        <f>IF(OR(B705="Oui",B705="Yes"),Traduction!C327,"")</f>
        <v/>
      </c>
      <c r="C706" s="139"/>
      <c r="D706" s="8" t="b">
        <f t="shared" si="53"/>
        <v>0</v>
      </c>
    </row>
    <row r="707" spans="1:4" hidden="1" x14ac:dyDescent="0.45">
      <c r="A707" s="2" t="s">
        <v>17</v>
      </c>
      <c r="B707" s="138" t="str">
        <f>IF(OR(B705="Oui",B705="Yes"),Traduction!C327,"")</f>
        <v/>
      </c>
      <c r="C707" s="139"/>
      <c r="D707" s="8" t="b">
        <f t="shared" si="53"/>
        <v>0</v>
      </c>
    </row>
    <row r="708" spans="1:4" hidden="1" x14ac:dyDescent="0.45">
      <c r="A708" s="2" t="str">
        <f>Traduction!C187</f>
        <v>Capital décès ($)</v>
      </c>
      <c r="B708" s="158" t="str">
        <f>IF(OR(B705="Oui",B705="Yes"),Traduction!C327,"")</f>
        <v/>
      </c>
      <c r="C708" s="154"/>
      <c r="D708" s="8" t="b">
        <f t="shared" si="53"/>
        <v>0</v>
      </c>
    </row>
    <row r="709" spans="1:4" hidden="1" x14ac:dyDescent="0.45">
      <c r="A709" s="2" t="str">
        <f>Traduction!C188</f>
        <v>Année de fin si temporaire</v>
      </c>
      <c r="B709" s="138" t="str">
        <f>IF(OR(B705="Oui",B705="Yes"),Traduction!C327,"")</f>
        <v/>
      </c>
      <c r="C709" s="139"/>
      <c r="D709" s="8" t="b">
        <f t="shared" si="53"/>
        <v>0</v>
      </c>
    </row>
    <row r="710" spans="1:4" hidden="1" x14ac:dyDescent="0.45">
      <c r="A710" s="2" t="str">
        <f>Traduction!C189</f>
        <v>Taux de croissance de la valeur de rachat si vie universelle (%)</v>
      </c>
      <c r="B710" s="161" t="str">
        <f>IF(OR(B705="Oui",B705="Yes"),Traduction!C327,"")</f>
        <v/>
      </c>
      <c r="C710" s="152"/>
      <c r="D710" s="8" t="b">
        <f t="shared" si="53"/>
        <v>0</v>
      </c>
    </row>
    <row r="711" spans="1:4" hidden="1" x14ac:dyDescent="0.45">
      <c r="A711" s="2" t="str">
        <f>Traduction!C190</f>
        <v>Fonds payable au décès si vie universelle ($)</v>
      </c>
      <c r="B711" s="158"/>
      <c r="C711" s="154"/>
      <c r="D711" s="8" t="b">
        <f t="shared" si="53"/>
        <v>0</v>
      </c>
    </row>
    <row r="712" spans="1:4" hidden="1" x14ac:dyDescent="0.45">
      <c r="A712" s="145" t="str">
        <f>Traduction!C180</f>
        <v>Police 6</v>
      </c>
      <c r="B712" s="146"/>
      <c r="C712" s="147"/>
    </row>
    <row r="713" spans="1:4" hidden="1" x14ac:dyDescent="0.45">
      <c r="A713" s="2" t="str">
        <f>Traduction!C185</f>
        <v>Je joins une copie de l'illustration</v>
      </c>
      <c r="B713" s="138"/>
      <c r="C713" s="139"/>
      <c r="D713" s="8" t="b">
        <f t="shared" ref="D713:D719" si="54">IF(NbAssViePerso&gt;=6,IF(B713="",TRUE))</f>
        <v>0</v>
      </c>
    </row>
    <row r="714" spans="1:4" hidden="1" x14ac:dyDescent="0.45">
      <c r="A714" s="2" t="str">
        <f>Traduction!C186</f>
        <v>Personne assurée</v>
      </c>
      <c r="B714" s="138" t="str">
        <f>IF(OR(B713="Oui",B713="Yes"),Traduction!C327,"")</f>
        <v/>
      </c>
      <c r="C714" s="139"/>
      <c r="D714" s="8" t="b">
        <f t="shared" si="54"/>
        <v>0</v>
      </c>
    </row>
    <row r="715" spans="1:4" hidden="1" x14ac:dyDescent="0.45">
      <c r="A715" s="2" t="s">
        <v>17</v>
      </c>
      <c r="B715" s="138" t="str">
        <f>IF(OR(B713="Oui",B713="Yes"),Traduction!C327,"")</f>
        <v/>
      </c>
      <c r="C715" s="139"/>
      <c r="D715" s="8" t="b">
        <f t="shared" si="54"/>
        <v>0</v>
      </c>
    </row>
    <row r="716" spans="1:4" hidden="1" x14ac:dyDescent="0.45">
      <c r="A716" s="2" t="str">
        <f>Traduction!C187</f>
        <v>Capital décès ($)</v>
      </c>
      <c r="B716" s="158" t="str">
        <f>IF(OR(B713="Oui",B713="Yes"),Traduction!C327,"")</f>
        <v/>
      </c>
      <c r="C716" s="154"/>
      <c r="D716" s="8" t="b">
        <f t="shared" si="54"/>
        <v>0</v>
      </c>
    </row>
    <row r="717" spans="1:4" hidden="1" x14ac:dyDescent="0.45">
      <c r="A717" s="2" t="str">
        <f>Traduction!C188</f>
        <v>Année de fin si temporaire</v>
      </c>
      <c r="B717" s="138" t="str">
        <f>IF(OR(B713="Oui",B713="Yes"),Traduction!C327,"")</f>
        <v/>
      </c>
      <c r="C717" s="139"/>
      <c r="D717" s="8" t="b">
        <f t="shared" si="54"/>
        <v>0</v>
      </c>
    </row>
    <row r="718" spans="1:4" hidden="1" x14ac:dyDescent="0.45">
      <c r="A718" s="2" t="str">
        <f>Traduction!C189</f>
        <v>Taux de croissance de la valeur de rachat si vie universelle (%)</v>
      </c>
      <c r="B718" s="161" t="str">
        <f>IF(OR(B713="Oui",B713="Yes"),Traduction!C327,"")</f>
        <v/>
      </c>
      <c r="C718" s="152"/>
      <c r="D718" s="8" t="b">
        <f t="shared" si="54"/>
        <v>0</v>
      </c>
    </row>
    <row r="719" spans="1:4" hidden="1" x14ac:dyDescent="0.45">
      <c r="A719" s="2" t="str">
        <f>Traduction!C190</f>
        <v>Fonds payable au décès si vie universelle ($)</v>
      </c>
      <c r="B719" s="158"/>
      <c r="C719" s="154"/>
      <c r="D719" s="8" t="b">
        <f t="shared" si="54"/>
        <v>0</v>
      </c>
    </row>
    <row r="720" spans="1:4" hidden="1" x14ac:dyDescent="0.45">
      <c r="A720" s="145" t="str">
        <f>Traduction!C181</f>
        <v>Police 7</v>
      </c>
      <c r="B720" s="146"/>
      <c r="C720" s="147"/>
    </row>
    <row r="721" spans="1:4" hidden="1" x14ac:dyDescent="0.45">
      <c r="A721" s="2" t="str">
        <f>Traduction!C185</f>
        <v>Je joins une copie de l'illustration</v>
      </c>
      <c r="B721" s="138"/>
      <c r="C721" s="139"/>
      <c r="D721" s="8" t="b">
        <f t="shared" ref="D721:D727" si="55">IF(NbAssViePerso&gt;=7,IF(B721="",TRUE))</f>
        <v>0</v>
      </c>
    </row>
    <row r="722" spans="1:4" hidden="1" x14ac:dyDescent="0.45">
      <c r="A722" s="2" t="str">
        <f>Traduction!C186</f>
        <v>Personne assurée</v>
      </c>
      <c r="B722" s="138" t="str">
        <f>IF(OR(B721="Oui",B721="Yes"),Traduction!C327,"")</f>
        <v/>
      </c>
      <c r="C722" s="139"/>
      <c r="D722" s="8" t="b">
        <f t="shared" si="55"/>
        <v>0</v>
      </c>
    </row>
    <row r="723" spans="1:4" hidden="1" x14ac:dyDescent="0.45">
      <c r="A723" s="2" t="s">
        <v>17</v>
      </c>
      <c r="B723" s="138" t="str">
        <f>IF(OR(B721="Oui",B721="Yes"),Traduction!C327,"")</f>
        <v/>
      </c>
      <c r="C723" s="139"/>
      <c r="D723" s="8" t="b">
        <f t="shared" si="55"/>
        <v>0</v>
      </c>
    </row>
    <row r="724" spans="1:4" hidden="1" x14ac:dyDescent="0.45">
      <c r="A724" s="2" t="str">
        <f>Traduction!C187</f>
        <v>Capital décès ($)</v>
      </c>
      <c r="B724" s="158" t="str">
        <f>IF(OR(B721="Oui",B721="Yes"),Traduction!C327,"")</f>
        <v/>
      </c>
      <c r="C724" s="154"/>
      <c r="D724" s="8" t="b">
        <f t="shared" si="55"/>
        <v>0</v>
      </c>
    </row>
    <row r="725" spans="1:4" hidden="1" x14ac:dyDescent="0.45">
      <c r="A725" s="2" t="str">
        <f>Traduction!C188</f>
        <v>Année de fin si temporaire</v>
      </c>
      <c r="B725" s="138" t="str">
        <f>IF(OR(B721="Oui",B721="Yes"),Traduction!C327,"")</f>
        <v/>
      </c>
      <c r="C725" s="139"/>
      <c r="D725" s="8" t="b">
        <f t="shared" si="55"/>
        <v>0</v>
      </c>
    </row>
    <row r="726" spans="1:4" hidden="1" x14ac:dyDescent="0.45">
      <c r="A726" s="2" t="str">
        <f>Traduction!C189</f>
        <v>Taux de croissance de la valeur de rachat si vie universelle (%)</v>
      </c>
      <c r="B726" s="161" t="str">
        <f>IF(OR(B721="Oui",B721="Yes"),Traduction!C327,"")</f>
        <v/>
      </c>
      <c r="C726" s="152"/>
      <c r="D726" s="8" t="b">
        <f t="shared" si="55"/>
        <v>0</v>
      </c>
    </row>
    <row r="727" spans="1:4" hidden="1" x14ac:dyDescent="0.45">
      <c r="A727" s="2" t="str">
        <f>Traduction!C190</f>
        <v>Fonds payable au décès si vie universelle ($)</v>
      </c>
      <c r="B727" s="158"/>
      <c r="C727" s="154"/>
      <c r="D727" s="8" t="b">
        <f t="shared" si="55"/>
        <v>0</v>
      </c>
    </row>
    <row r="728" spans="1:4" hidden="1" x14ac:dyDescent="0.45">
      <c r="A728" s="145" t="str">
        <f>Traduction!C182</f>
        <v>Police 8</v>
      </c>
      <c r="B728" s="146"/>
      <c r="C728" s="147"/>
    </row>
    <row r="729" spans="1:4" ht="14.1" hidden="1" customHeight="1" x14ac:dyDescent="0.45">
      <c r="A729" s="2" t="str">
        <f>Traduction!C185</f>
        <v>Je joins une copie de l'illustration</v>
      </c>
      <c r="B729" s="138"/>
      <c r="C729" s="139"/>
      <c r="D729" s="8" t="b">
        <f t="shared" ref="D729:D735" si="56">IF(NbAssViePerso&gt;=8,IF(B729="",TRUE))</f>
        <v>0</v>
      </c>
    </row>
    <row r="730" spans="1:4" hidden="1" x14ac:dyDescent="0.45">
      <c r="A730" s="2" t="str">
        <f>Traduction!C186</f>
        <v>Personne assurée</v>
      </c>
      <c r="B730" s="138" t="str">
        <f>IF(OR(B729="Oui",B729="Yes"),Traduction!C327,"")</f>
        <v/>
      </c>
      <c r="C730" s="139"/>
      <c r="D730" s="8" t="b">
        <f t="shared" si="56"/>
        <v>0</v>
      </c>
    </row>
    <row r="731" spans="1:4" hidden="1" x14ac:dyDescent="0.45">
      <c r="A731" s="2" t="s">
        <v>17</v>
      </c>
      <c r="B731" s="138" t="str">
        <f>IF(OR(B729="Oui",B729="Yes"),Traduction!C327,"")</f>
        <v/>
      </c>
      <c r="C731" s="139"/>
      <c r="D731" s="8" t="b">
        <f t="shared" si="56"/>
        <v>0</v>
      </c>
    </row>
    <row r="732" spans="1:4" hidden="1" x14ac:dyDescent="0.45">
      <c r="A732" s="2" t="str">
        <f>Traduction!C187</f>
        <v>Capital décès ($)</v>
      </c>
      <c r="B732" s="158" t="str">
        <f>IF(OR(B729="Oui",B729="Yes"),Traduction!C327,"")</f>
        <v/>
      </c>
      <c r="C732" s="154"/>
      <c r="D732" s="8" t="b">
        <f t="shared" si="56"/>
        <v>0</v>
      </c>
    </row>
    <row r="733" spans="1:4" hidden="1" x14ac:dyDescent="0.45">
      <c r="A733" s="2" t="str">
        <f>Traduction!C188</f>
        <v>Année de fin si temporaire</v>
      </c>
      <c r="B733" s="138" t="str">
        <f>IF(OR(B729="Oui",B729="Yes"),Traduction!C327,"")</f>
        <v/>
      </c>
      <c r="C733" s="139"/>
      <c r="D733" s="8" t="b">
        <f t="shared" si="56"/>
        <v>0</v>
      </c>
    </row>
    <row r="734" spans="1:4" hidden="1" x14ac:dyDescent="0.45">
      <c r="A734" s="2" t="str">
        <f>Traduction!C189</f>
        <v>Taux de croissance de la valeur de rachat si vie universelle (%)</v>
      </c>
      <c r="B734" s="161" t="str">
        <f>IF(OR(B729="Oui",B729="Yes"),Traduction!C327,"")</f>
        <v/>
      </c>
      <c r="C734" s="152"/>
      <c r="D734" s="8" t="b">
        <f t="shared" si="56"/>
        <v>0</v>
      </c>
    </row>
    <row r="735" spans="1:4" hidden="1" x14ac:dyDescent="0.45">
      <c r="A735" s="2" t="str">
        <f>Traduction!C190</f>
        <v>Fonds payable au décès si vie universelle ($)</v>
      </c>
      <c r="B735" s="158"/>
      <c r="C735" s="154"/>
      <c r="D735" s="8" t="b">
        <f t="shared" si="56"/>
        <v>0</v>
      </c>
    </row>
    <row r="736" spans="1:4" hidden="1" x14ac:dyDescent="0.45">
      <c r="A736" s="145" t="str">
        <f>Traduction!C183</f>
        <v>Police 9</v>
      </c>
      <c r="B736" s="146"/>
      <c r="C736" s="147"/>
    </row>
    <row r="737" spans="1:4" hidden="1" x14ac:dyDescent="0.45">
      <c r="A737" s="2" t="str">
        <f>Traduction!C185</f>
        <v>Je joins une copie de l'illustration</v>
      </c>
      <c r="B737" s="138"/>
      <c r="C737" s="139"/>
      <c r="D737" s="8" t="b">
        <f t="shared" ref="D737:D743" si="57">IF(NbAssViePerso&gt;=9,IF(B737="",TRUE))</f>
        <v>0</v>
      </c>
    </row>
    <row r="738" spans="1:4" hidden="1" x14ac:dyDescent="0.45">
      <c r="A738" s="2" t="str">
        <f>Traduction!C186</f>
        <v>Personne assurée</v>
      </c>
      <c r="B738" s="138" t="str">
        <f>IF(OR(B737="Oui",B737="Yes"),Traduction!C327,"")</f>
        <v/>
      </c>
      <c r="C738" s="139"/>
      <c r="D738" s="8" t="b">
        <f t="shared" si="57"/>
        <v>0</v>
      </c>
    </row>
    <row r="739" spans="1:4" hidden="1" x14ac:dyDescent="0.45">
      <c r="A739" s="2" t="s">
        <v>17</v>
      </c>
      <c r="B739" s="138" t="str">
        <f>IF(OR(B737="Oui",B737="Yes"),Traduction!C327,"")</f>
        <v/>
      </c>
      <c r="C739" s="139"/>
      <c r="D739" s="8" t="b">
        <f t="shared" si="57"/>
        <v>0</v>
      </c>
    </row>
    <row r="740" spans="1:4" hidden="1" x14ac:dyDescent="0.45">
      <c r="A740" s="2" t="str">
        <f>Traduction!C187</f>
        <v>Capital décès ($)</v>
      </c>
      <c r="B740" s="158" t="str">
        <f>IF(OR(B737="Oui",B737="Yes"),Traduction!C327,"")</f>
        <v/>
      </c>
      <c r="C740" s="154"/>
      <c r="D740" s="8" t="b">
        <f t="shared" si="57"/>
        <v>0</v>
      </c>
    </row>
    <row r="741" spans="1:4" hidden="1" x14ac:dyDescent="0.45">
      <c r="A741" s="2" t="str">
        <f>Traduction!C188</f>
        <v>Année de fin si temporaire</v>
      </c>
      <c r="B741" s="138" t="str">
        <f>IF(OR(B737="Oui",B737="Yes"),Traduction!C327,"")</f>
        <v/>
      </c>
      <c r="C741" s="139"/>
      <c r="D741" s="8" t="b">
        <f t="shared" si="57"/>
        <v>0</v>
      </c>
    </row>
    <row r="742" spans="1:4" hidden="1" x14ac:dyDescent="0.45">
      <c r="A742" s="2" t="str">
        <f>Traduction!C189</f>
        <v>Taux de croissance de la valeur de rachat si vie universelle (%)</v>
      </c>
      <c r="B742" s="161" t="str">
        <f>IF(OR(B737="Oui",B737="Yes"),Traduction!C327,"")</f>
        <v/>
      </c>
      <c r="C742" s="152"/>
      <c r="D742" s="8" t="b">
        <f t="shared" si="57"/>
        <v>0</v>
      </c>
    </row>
    <row r="743" spans="1:4" hidden="1" x14ac:dyDescent="0.45">
      <c r="A743" s="2" t="str">
        <f>Traduction!C190</f>
        <v>Fonds payable au décès si vie universelle ($)</v>
      </c>
      <c r="B743" s="158"/>
      <c r="C743" s="154"/>
      <c r="D743" s="8" t="b">
        <f t="shared" si="57"/>
        <v>0</v>
      </c>
    </row>
    <row r="744" spans="1:4" hidden="1" x14ac:dyDescent="0.45">
      <c r="A744" s="145" t="str">
        <f>Traduction!C184</f>
        <v>Police 10</v>
      </c>
      <c r="B744" s="146"/>
      <c r="C744" s="147"/>
    </row>
    <row r="745" spans="1:4" hidden="1" x14ac:dyDescent="0.45">
      <c r="A745" s="2" t="str">
        <f>Traduction!C185</f>
        <v>Je joins une copie de l'illustration</v>
      </c>
      <c r="B745" s="138"/>
      <c r="C745" s="139"/>
      <c r="D745" s="8" t="b">
        <f t="shared" ref="D745:D751" si="58">IF(NbAssViePerso&gt;=10,IF(B745="",TRUE))</f>
        <v>0</v>
      </c>
    </row>
    <row r="746" spans="1:4" hidden="1" x14ac:dyDescent="0.45">
      <c r="A746" s="2" t="str">
        <f>Traduction!C186</f>
        <v>Personne assurée</v>
      </c>
      <c r="B746" s="138" t="str">
        <f>IF(OR(B745="Oui",B745="Yes"),Traduction!C327,"")</f>
        <v/>
      </c>
      <c r="C746" s="139"/>
      <c r="D746" s="8" t="b">
        <f t="shared" si="58"/>
        <v>0</v>
      </c>
    </row>
    <row r="747" spans="1:4" hidden="1" x14ac:dyDescent="0.45">
      <c r="A747" s="2" t="s">
        <v>17</v>
      </c>
      <c r="B747" s="138" t="str">
        <f>IF(OR(B745="Oui",B745="Yes"),Traduction!C327,"")</f>
        <v/>
      </c>
      <c r="C747" s="139"/>
      <c r="D747" s="8" t="b">
        <f t="shared" si="58"/>
        <v>0</v>
      </c>
    </row>
    <row r="748" spans="1:4" hidden="1" x14ac:dyDescent="0.45">
      <c r="A748" s="2" t="str">
        <f>Traduction!C187</f>
        <v>Capital décès ($)</v>
      </c>
      <c r="B748" s="158" t="str">
        <f>IF(OR(B745="Oui",B745="Yes"),Traduction!C327,"")</f>
        <v/>
      </c>
      <c r="C748" s="154"/>
      <c r="D748" s="8" t="b">
        <f t="shared" si="58"/>
        <v>0</v>
      </c>
    </row>
    <row r="749" spans="1:4" hidden="1" x14ac:dyDescent="0.45">
      <c r="A749" s="2" t="str">
        <f>Traduction!C188</f>
        <v>Année de fin si temporaire</v>
      </c>
      <c r="B749" s="138" t="str">
        <f>IF(OR(B745="Oui",B745="Yes"),Traduction!C327,"")</f>
        <v/>
      </c>
      <c r="C749" s="139"/>
      <c r="D749" s="8" t="b">
        <f t="shared" si="58"/>
        <v>0</v>
      </c>
    </row>
    <row r="750" spans="1:4" hidden="1" x14ac:dyDescent="0.45">
      <c r="A750" s="2" t="str">
        <f>Traduction!C189</f>
        <v>Taux de croissance de la valeur de rachat si vie universelle (%)</v>
      </c>
      <c r="B750" s="161" t="str">
        <f>IF(OR(B745="Oui",B745="Yes"),Traduction!C327,"")</f>
        <v/>
      </c>
      <c r="C750" s="152"/>
      <c r="D750" s="8" t="b">
        <f t="shared" si="58"/>
        <v>0</v>
      </c>
    </row>
    <row r="751" spans="1:4" hidden="1" x14ac:dyDescent="0.45">
      <c r="A751" s="2" t="str">
        <f>Traduction!C190</f>
        <v>Fonds payable au décès si vie universelle ($)</v>
      </c>
      <c r="B751" s="158"/>
      <c r="C751" s="154"/>
      <c r="D751" s="8" t="b">
        <f t="shared" si="58"/>
        <v>0</v>
      </c>
    </row>
    <row r="752" spans="1:4" ht="14.65" hidden="1" customHeight="1" x14ac:dyDescent="0.45">
      <c r="A752" s="159" t="str">
        <f>Traduction!C191</f>
        <v>Assurance(s) corporative(s)</v>
      </c>
      <c r="B752" s="159"/>
      <c r="C752" s="159"/>
    </row>
    <row r="753" spans="1:5" ht="14.65" hidden="1" customHeight="1" x14ac:dyDescent="0.45">
      <c r="A753" s="160"/>
      <c r="B753" s="160"/>
      <c r="C753" s="160"/>
    </row>
    <row r="754" spans="1:5" hidden="1" x14ac:dyDescent="0.45">
      <c r="A754" s="145" t="str">
        <f>Traduction!C175</f>
        <v>Police 1</v>
      </c>
      <c r="B754" s="146"/>
      <c r="C754" s="147"/>
    </row>
    <row r="755" spans="1:5" hidden="1" x14ac:dyDescent="0.45">
      <c r="A755" s="13" t="str">
        <f>Traduction!C192</f>
        <v xml:space="preserve">Je joins une copie de l'illustration détaillée qui contient l'évolution du CBR et de la valeur de rachat pour chaque année. </v>
      </c>
      <c r="B755" s="138"/>
      <c r="C755" s="139"/>
      <c r="D755" t="b">
        <f>IF(NbAssCorpo&gt;=1,IF(B755="",TRUE))</f>
        <v>1</v>
      </c>
    </row>
    <row r="756" spans="1:5" hidden="1" x14ac:dyDescent="0.45">
      <c r="A756" s="2" t="str">
        <f>Traduction!C186</f>
        <v>Personne assurée</v>
      </c>
      <c r="B756" s="138"/>
      <c r="C756" s="139"/>
      <c r="D756" t="b">
        <f>IF(NbAssCorpo&gt;=1,IF(B756="",TRUE))</f>
        <v>1</v>
      </c>
    </row>
    <row r="757" spans="1:5" ht="14.65" hidden="1" thickBot="1" x14ac:dyDescent="0.5">
      <c r="A757" s="2" t="s">
        <v>17</v>
      </c>
      <c r="B757" s="138"/>
      <c r="C757" s="139"/>
      <c r="D757" t="b">
        <f>IF(NbAssCorpo&gt;=1,IF(B757="",TRUE))</f>
        <v>1</v>
      </c>
    </row>
    <row r="758" spans="1:5" ht="15" hidden="1" thickTop="1" thickBot="1" x14ac:dyDescent="0.5">
      <c r="A758" s="2" t="str">
        <f>Traduction!C187</f>
        <v>Capital décès ($)</v>
      </c>
      <c r="B758" s="94"/>
      <c r="C758" s="94"/>
      <c r="D758" t="b">
        <f t="shared" ref="D758:D763" si="59">IF(IF(AND(C758="",B758="",NbAssCorpo&gt;=1),TRUE),TRUE,FALSE)</f>
        <v>1</v>
      </c>
      <c r="E758" t="b">
        <f t="shared" ref="E758:E763" si="60">IF(NbClients=2,IF(AND(C758="",B758="",NbAssCorpo&gt;=1),TRUE),FALSE)</f>
        <v>1</v>
      </c>
    </row>
    <row r="759" spans="1:5" ht="15" hidden="1" thickTop="1" thickBot="1" x14ac:dyDescent="0.5">
      <c r="A759" s="2" t="str">
        <f>Traduction!C193</f>
        <v>Prestation maladie ($)</v>
      </c>
      <c r="B759" s="94"/>
      <c r="C759" s="94"/>
      <c r="D759" t="b">
        <f t="shared" si="59"/>
        <v>1</v>
      </c>
      <c r="E759" t="b">
        <f t="shared" si="60"/>
        <v>1</v>
      </c>
    </row>
    <row r="760" spans="1:5" ht="15" hidden="1" thickTop="1" thickBot="1" x14ac:dyDescent="0.5">
      <c r="A760" s="2" t="str">
        <f>Traduction!C188</f>
        <v>Année de fin si temporaire</v>
      </c>
      <c r="B760" s="95"/>
      <c r="C760" s="95"/>
      <c r="D760" t="b">
        <f t="shared" si="59"/>
        <v>1</v>
      </c>
      <c r="E760" t="b">
        <f t="shared" si="60"/>
        <v>1</v>
      </c>
    </row>
    <row r="761" spans="1:5" ht="15" hidden="1" thickTop="1" thickBot="1" x14ac:dyDescent="0.5">
      <c r="A761" s="2" t="str">
        <f>Traduction!C194</f>
        <v>Prime annuelle ($)</v>
      </c>
      <c r="B761" s="94"/>
      <c r="C761" s="94"/>
      <c r="D761" t="b">
        <f t="shared" si="59"/>
        <v>1</v>
      </c>
      <c r="E761" t="b">
        <f t="shared" si="60"/>
        <v>1</v>
      </c>
    </row>
    <row r="762" spans="1:5" ht="15" hidden="1" thickTop="1" thickBot="1" x14ac:dyDescent="0.5">
      <c r="A762" s="2" t="str">
        <f>Traduction!C189</f>
        <v>Taux de croissance de la valeur de rachat si vie universelle (%)</v>
      </c>
      <c r="B762" s="96"/>
      <c r="C762" s="96"/>
      <c r="D762" t="b">
        <f t="shared" si="59"/>
        <v>1</v>
      </c>
      <c r="E762" t="b">
        <f t="shared" si="60"/>
        <v>1</v>
      </c>
    </row>
    <row r="763" spans="1:5" ht="15" hidden="1" thickTop="1" thickBot="1" x14ac:dyDescent="0.5">
      <c r="A763" s="2" t="str">
        <f>Traduction!C190</f>
        <v>Fonds payable au décès si vie universelle ($)</v>
      </c>
      <c r="B763" s="94"/>
      <c r="C763" s="94"/>
      <c r="D763" t="b">
        <f t="shared" si="59"/>
        <v>1</v>
      </c>
      <c r="E763" t="b">
        <f t="shared" si="60"/>
        <v>1</v>
      </c>
    </row>
    <row r="764" spans="1:5" hidden="1" x14ac:dyDescent="0.45">
      <c r="A764" s="163" t="str">
        <f>Traduction!C176</f>
        <v>Police 2</v>
      </c>
      <c r="B764" s="164"/>
      <c r="C764" s="165"/>
    </row>
    <row r="765" spans="1:5" hidden="1" x14ac:dyDescent="0.45">
      <c r="A765" s="13" t="str">
        <f>Traduction!C192</f>
        <v xml:space="preserve">Je joins une copie de l'illustration détaillée qui contient l'évolution du CBR et de la valeur de rachat pour chaque année. </v>
      </c>
      <c r="B765" s="138"/>
      <c r="C765" s="139"/>
      <c r="D765" t="b">
        <f>IF(NbAssCorpo&gt;=2,IF(B765="",TRUE))</f>
        <v>1</v>
      </c>
    </row>
    <row r="766" spans="1:5" hidden="1" x14ac:dyDescent="0.45">
      <c r="A766" s="2" t="str">
        <f>Traduction!C186</f>
        <v>Personne assurée</v>
      </c>
      <c r="B766" s="138"/>
      <c r="C766" s="139"/>
      <c r="D766" t="b">
        <f>IF(NbAssCorpo&gt;=2,IF(B766="",TRUE))</f>
        <v>1</v>
      </c>
    </row>
    <row r="767" spans="1:5" ht="14.65" hidden="1" thickBot="1" x14ac:dyDescent="0.5">
      <c r="A767" s="2" t="s">
        <v>17</v>
      </c>
      <c r="B767" s="138"/>
      <c r="C767" s="139"/>
      <c r="D767" t="b">
        <f>IF(NbAssCorpo&gt;=2,IF(B767="",TRUE))</f>
        <v>1</v>
      </c>
    </row>
    <row r="768" spans="1:5" ht="15" hidden="1" thickTop="1" thickBot="1" x14ac:dyDescent="0.5">
      <c r="A768" s="2" t="str">
        <f>Traduction!C187</f>
        <v>Capital décès ($)</v>
      </c>
      <c r="B768" s="94"/>
      <c r="C768" s="94"/>
      <c r="D768" t="b">
        <f t="shared" ref="D768:D773" si="61">IF(IF(AND(C768="",B768="",NbAssCorpo&gt;=2),TRUE),TRUE,FALSE)</f>
        <v>1</v>
      </c>
      <c r="E768" t="b">
        <f t="shared" ref="E768:E773" si="62">IF(NbClients=2,IF(AND(C768="",B768="",NbAssCorpo&gt;=2),TRUE),FALSE)</f>
        <v>1</v>
      </c>
    </row>
    <row r="769" spans="1:5" ht="15" hidden="1" thickTop="1" thickBot="1" x14ac:dyDescent="0.5">
      <c r="A769" s="2" t="str">
        <f>Traduction!C193</f>
        <v>Prestation maladie ($)</v>
      </c>
      <c r="B769" s="94"/>
      <c r="C769" s="94"/>
      <c r="D769" t="b">
        <f t="shared" si="61"/>
        <v>1</v>
      </c>
      <c r="E769" t="b">
        <f t="shared" si="62"/>
        <v>1</v>
      </c>
    </row>
    <row r="770" spans="1:5" ht="15" hidden="1" thickTop="1" thickBot="1" x14ac:dyDescent="0.5">
      <c r="A770" s="2" t="str">
        <f>Traduction!C188</f>
        <v>Année de fin si temporaire</v>
      </c>
      <c r="B770" s="95"/>
      <c r="C770" s="95"/>
      <c r="D770" t="b">
        <f t="shared" si="61"/>
        <v>1</v>
      </c>
      <c r="E770" t="b">
        <f t="shared" si="62"/>
        <v>1</v>
      </c>
    </row>
    <row r="771" spans="1:5" ht="15" hidden="1" thickTop="1" thickBot="1" x14ac:dyDescent="0.5">
      <c r="A771" s="2" t="str">
        <f>Traduction!C194</f>
        <v>Prime annuelle ($)</v>
      </c>
      <c r="B771" s="94"/>
      <c r="C771" s="94"/>
      <c r="D771" t="b">
        <f t="shared" si="61"/>
        <v>1</v>
      </c>
      <c r="E771" t="b">
        <f t="shared" si="62"/>
        <v>1</v>
      </c>
    </row>
    <row r="772" spans="1:5" ht="15" hidden="1" thickTop="1" thickBot="1" x14ac:dyDescent="0.5">
      <c r="A772" s="2" t="str">
        <f>Traduction!C189</f>
        <v>Taux de croissance de la valeur de rachat si vie universelle (%)</v>
      </c>
      <c r="B772" s="96"/>
      <c r="C772" s="96"/>
      <c r="D772" t="b">
        <f t="shared" si="61"/>
        <v>1</v>
      </c>
      <c r="E772" t="b">
        <f t="shared" si="62"/>
        <v>1</v>
      </c>
    </row>
    <row r="773" spans="1:5" ht="15" hidden="1" thickTop="1" thickBot="1" x14ac:dyDescent="0.5">
      <c r="A773" s="2" t="str">
        <f>Traduction!C190</f>
        <v>Fonds payable au décès si vie universelle ($)</v>
      </c>
      <c r="B773" s="94"/>
      <c r="C773" s="94"/>
      <c r="D773" t="b">
        <f t="shared" si="61"/>
        <v>1</v>
      </c>
      <c r="E773" t="b">
        <f t="shared" si="62"/>
        <v>1</v>
      </c>
    </row>
    <row r="774" spans="1:5" hidden="1" x14ac:dyDescent="0.45">
      <c r="A774" s="163" t="str">
        <f>Traduction!C177</f>
        <v>Police 3</v>
      </c>
      <c r="B774" s="164"/>
      <c r="C774" s="165"/>
    </row>
    <row r="775" spans="1:5" hidden="1" x14ac:dyDescent="0.45">
      <c r="A775" s="13" t="str">
        <f>Traduction!C192</f>
        <v xml:space="preserve">Je joins une copie de l'illustration détaillée qui contient l'évolution du CBR et de la valeur de rachat pour chaque année. </v>
      </c>
      <c r="B775" s="138"/>
      <c r="C775" s="139"/>
      <c r="D775" t="b">
        <f>IF(NbAssCorpo&gt;=3,IF(B775="",TRUE))</f>
        <v>1</v>
      </c>
    </row>
    <row r="776" spans="1:5" hidden="1" x14ac:dyDescent="0.45">
      <c r="A776" s="2" t="str">
        <f>Traduction!C186</f>
        <v>Personne assurée</v>
      </c>
      <c r="B776" s="138"/>
      <c r="C776" s="139"/>
      <c r="D776" t="b">
        <f>IF(NbAssCorpo&gt;=3,IF(B776="",TRUE))</f>
        <v>1</v>
      </c>
    </row>
    <row r="777" spans="1:5" ht="14.65" hidden="1" thickBot="1" x14ac:dyDescent="0.5">
      <c r="A777" s="2" t="s">
        <v>17</v>
      </c>
      <c r="B777" s="138"/>
      <c r="C777" s="139"/>
      <c r="D777" t="b">
        <f>IF(NbAssCorpo&gt;=3,IF(B777="",TRUE))</f>
        <v>1</v>
      </c>
    </row>
    <row r="778" spans="1:5" ht="15" hidden="1" thickTop="1" thickBot="1" x14ac:dyDescent="0.5">
      <c r="A778" s="2" t="str">
        <f>Traduction!C187</f>
        <v>Capital décès ($)</v>
      </c>
      <c r="B778" s="94"/>
      <c r="C778" s="94"/>
      <c r="D778" t="b">
        <f t="shared" ref="D778:D783" si="63">IF(IF(AND(C778="",B778="",NbAssCorpo&gt;=3),TRUE),TRUE,FALSE)</f>
        <v>1</v>
      </c>
      <c r="E778" t="b">
        <f t="shared" ref="E778:E783" si="64">IF(NbClients=2,IF(AND(C778="",B778="",NbAssCorpo&gt;=3),TRUE),FALSE)</f>
        <v>1</v>
      </c>
    </row>
    <row r="779" spans="1:5" ht="15" hidden="1" thickTop="1" thickBot="1" x14ac:dyDescent="0.5">
      <c r="A779" s="2" t="str">
        <f>Traduction!C193</f>
        <v>Prestation maladie ($)</v>
      </c>
      <c r="B779" s="94"/>
      <c r="C779" s="94"/>
      <c r="D779" t="b">
        <f t="shared" si="63"/>
        <v>1</v>
      </c>
      <c r="E779" t="b">
        <f t="shared" si="64"/>
        <v>1</v>
      </c>
    </row>
    <row r="780" spans="1:5" ht="15" hidden="1" thickTop="1" thickBot="1" x14ac:dyDescent="0.5">
      <c r="A780" s="2" t="str">
        <f>Traduction!C188</f>
        <v>Année de fin si temporaire</v>
      </c>
      <c r="B780" s="95"/>
      <c r="C780" s="95"/>
      <c r="D780" t="b">
        <f t="shared" si="63"/>
        <v>1</v>
      </c>
      <c r="E780" t="b">
        <f t="shared" si="64"/>
        <v>1</v>
      </c>
    </row>
    <row r="781" spans="1:5" ht="15" hidden="1" thickTop="1" thickBot="1" x14ac:dyDescent="0.5">
      <c r="A781" s="2" t="str">
        <f>Traduction!C194</f>
        <v>Prime annuelle ($)</v>
      </c>
      <c r="B781" s="94"/>
      <c r="C781" s="94"/>
      <c r="D781" t="b">
        <f t="shared" si="63"/>
        <v>1</v>
      </c>
      <c r="E781" t="b">
        <f t="shared" si="64"/>
        <v>1</v>
      </c>
    </row>
    <row r="782" spans="1:5" ht="15" hidden="1" thickTop="1" thickBot="1" x14ac:dyDescent="0.5">
      <c r="A782" s="2" t="str">
        <f>Traduction!C189</f>
        <v>Taux de croissance de la valeur de rachat si vie universelle (%)</v>
      </c>
      <c r="B782" s="96"/>
      <c r="C782" s="96"/>
      <c r="D782" t="b">
        <f t="shared" si="63"/>
        <v>1</v>
      </c>
      <c r="E782" t="b">
        <f t="shared" si="64"/>
        <v>1</v>
      </c>
    </row>
    <row r="783" spans="1:5" ht="15" hidden="1" thickTop="1" thickBot="1" x14ac:dyDescent="0.5">
      <c r="A783" s="2" t="str">
        <f>Traduction!C190</f>
        <v>Fonds payable au décès si vie universelle ($)</v>
      </c>
      <c r="B783" s="94"/>
      <c r="C783" s="94"/>
      <c r="D783" t="b">
        <f t="shared" si="63"/>
        <v>1</v>
      </c>
      <c r="E783" t="b">
        <f t="shared" si="64"/>
        <v>1</v>
      </c>
    </row>
    <row r="784" spans="1:5" hidden="1" x14ac:dyDescent="0.45">
      <c r="A784" s="163" t="str">
        <f>Traduction!C178</f>
        <v>Police 4</v>
      </c>
      <c r="B784" s="164"/>
      <c r="C784" s="165"/>
    </row>
    <row r="785" spans="1:5" hidden="1" x14ac:dyDescent="0.45">
      <c r="A785" s="13" t="str">
        <f>Traduction!C192</f>
        <v xml:space="preserve">Je joins une copie de l'illustration détaillée qui contient l'évolution du CBR et de la valeur de rachat pour chaque année. </v>
      </c>
      <c r="B785" s="138"/>
      <c r="C785" s="139"/>
      <c r="D785" t="b">
        <f>IF(NbAssCorpo&gt;=4,IF(B785="",TRUE))</f>
        <v>1</v>
      </c>
    </row>
    <row r="786" spans="1:5" hidden="1" x14ac:dyDescent="0.45">
      <c r="A786" s="2" t="str">
        <f>Traduction!C186</f>
        <v>Personne assurée</v>
      </c>
      <c r="B786" s="138"/>
      <c r="C786" s="139"/>
      <c r="D786" t="b">
        <f>IF(NbAssCorpo&gt;=4,IF(B786="",TRUE))</f>
        <v>1</v>
      </c>
    </row>
    <row r="787" spans="1:5" ht="14.65" hidden="1" thickBot="1" x14ac:dyDescent="0.5">
      <c r="A787" s="2" t="s">
        <v>17</v>
      </c>
      <c r="B787" s="138"/>
      <c r="C787" s="139"/>
      <c r="D787" t="b">
        <f>IF(NbAssCorpo&gt;=4,IF(B787="",TRUE))</f>
        <v>1</v>
      </c>
    </row>
    <row r="788" spans="1:5" ht="15" hidden="1" thickTop="1" thickBot="1" x14ac:dyDescent="0.5">
      <c r="A788" s="2" t="str">
        <f>Traduction!C187</f>
        <v>Capital décès ($)</v>
      </c>
      <c r="B788" s="94"/>
      <c r="C788" s="94"/>
      <c r="D788" t="b">
        <f t="shared" ref="D788:D793" si="65">IF(IF(AND(C788="",B788="",NbAssCorpo&gt;=4),TRUE),TRUE,FALSE)</f>
        <v>1</v>
      </c>
      <c r="E788" t="b">
        <f t="shared" ref="E788:E793" si="66">IF(NbClients=2,IF(AND(C788="",B788="",NbAssCorpo&gt;=4),TRUE),FALSE)</f>
        <v>1</v>
      </c>
    </row>
    <row r="789" spans="1:5" ht="15" hidden="1" thickTop="1" thickBot="1" x14ac:dyDescent="0.5">
      <c r="A789" s="2" t="str">
        <f>Traduction!C193</f>
        <v>Prestation maladie ($)</v>
      </c>
      <c r="B789" s="94"/>
      <c r="C789" s="94"/>
      <c r="D789" t="b">
        <f t="shared" si="65"/>
        <v>1</v>
      </c>
      <c r="E789" t="b">
        <f t="shared" si="66"/>
        <v>1</v>
      </c>
    </row>
    <row r="790" spans="1:5" ht="15" hidden="1" thickTop="1" thickBot="1" x14ac:dyDescent="0.5">
      <c r="A790" s="2" t="str">
        <f>Traduction!C188</f>
        <v>Année de fin si temporaire</v>
      </c>
      <c r="B790" s="95"/>
      <c r="C790" s="95"/>
      <c r="D790" t="b">
        <f t="shared" si="65"/>
        <v>1</v>
      </c>
      <c r="E790" t="b">
        <f t="shared" si="66"/>
        <v>1</v>
      </c>
    </row>
    <row r="791" spans="1:5" ht="15" hidden="1" thickTop="1" thickBot="1" x14ac:dyDescent="0.5">
      <c r="A791" s="2" t="str">
        <f>Traduction!C194</f>
        <v>Prime annuelle ($)</v>
      </c>
      <c r="B791" s="94"/>
      <c r="C791" s="94"/>
      <c r="D791" t="b">
        <f t="shared" si="65"/>
        <v>1</v>
      </c>
      <c r="E791" t="b">
        <f t="shared" si="66"/>
        <v>1</v>
      </c>
    </row>
    <row r="792" spans="1:5" ht="15" hidden="1" thickTop="1" thickBot="1" x14ac:dyDescent="0.5">
      <c r="A792" s="2" t="str">
        <f>Traduction!C189</f>
        <v>Taux de croissance de la valeur de rachat si vie universelle (%)</v>
      </c>
      <c r="B792" s="96"/>
      <c r="C792" s="96"/>
      <c r="D792" t="b">
        <f t="shared" si="65"/>
        <v>1</v>
      </c>
      <c r="E792" t="b">
        <f t="shared" si="66"/>
        <v>1</v>
      </c>
    </row>
    <row r="793" spans="1:5" ht="15" hidden="1" thickTop="1" thickBot="1" x14ac:dyDescent="0.5">
      <c r="A793" s="2" t="str">
        <f>Traduction!C190</f>
        <v>Fonds payable au décès si vie universelle ($)</v>
      </c>
      <c r="B793" s="94"/>
      <c r="C793" s="94"/>
      <c r="D793" t="b">
        <f t="shared" si="65"/>
        <v>1</v>
      </c>
      <c r="E793" t="b">
        <f t="shared" si="66"/>
        <v>1</v>
      </c>
    </row>
    <row r="794" spans="1:5" hidden="1" x14ac:dyDescent="0.45">
      <c r="A794" s="163" t="str">
        <f>Traduction!C179</f>
        <v>Police 5</v>
      </c>
      <c r="B794" s="164"/>
      <c r="C794" s="165"/>
    </row>
    <row r="795" spans="1:5" hidden="1" x14ac:dyDescent="0.45">
      <c r="A795" s="13" t="str">
        <f>Traduction!C192</f>
        <v xml:space="preserve">Je joins une copie de l'illustration détaillée qui contient l'évolution du CBR et de la valeur de rachat pour chaque année. </v>
      </c>
      <c r="B795" s="138"/>
      <c r="C795" s="139"/>
      <c r="D795" t="b">
        <f>IF(NbAssCorpo&gt;=5,IF(B795="",TRUE))</f>
        <v>1</v>
      </c>
    </row>
    <row r="796" spans="1:5" hidden="1" x14ac:dyDescent="0.45">
      <c r="A796" s="2" t="str">
        <f>Traduction!C186</f>
        <v>Personne assurée</v>
      </c>
      <c r="B796" s="138"/>
      <c r="C796" s="139"/>
      <c r="D796" t="b">
        <f>IF(NbAssCorpo&gt;=5,IF(B796="",TRUE))</f>
        <v>1</v>
      </c>
    </row>
    <row r="797" spans="1:5" ht="14.65" hidden="1" thickBot="1" x14ac:dyDescent="0.5">
      <c r="A797" s="2" t="s">
        <v>17</v>
      </c>
      <c r="B797" s="138"/>
      <c r="C797" s="139"/>
      <c r="D797" t="b">
        <f>IF(NbAssCorpo&gt;=5,IF(B797="",TRUE))</f>
        <v>1</v>
      </c>
    </row>
    <row r="798" spans="1:5" ht="15" hidden="1" thickTop="1" thickBot="1" x14ac:dyDescent="0.5">
      <c r="A798" s="2" t="str">
        <f>Traduction!C187</f>
        <v>Capital décès ($)</v>
      </c>
      <c r="B798" s="94"/>
      <c r="C798" s="94"/>
      <c r="D798" t="b">
        <f t="shared" ref="D798:D803" si="67">IF(IF(AND(C798="",B798="",NbAssCorpo&gt;=5),TRUE),TRUE,FALSE)</f>
        <v>1</v>
      </c>
      <c r="E798" t="b">
        <f t="shared" ref="E798:E803" si="68">IF(NbClients=2,IF(AND(C798="",B798="",NbAssCorpo&gt;=5),TRUE),FALSE)</f>
        <v>1</v>
      </c>
    </row>
    <row r="799" spans="1:5" ht="15" hidden="1" thickTop="1" thickBot="1" x14ac:dyDescent="0.5">
      <c r="A799" s="2" t="str">
        <f>Traduction!C193</f>
        <v>Prestation maladie ($)</v>
      </c>
      <c r="B799" s="94"/>
      <c r="C799" s="94"/>
      <c r="D799" t="b">
        <f t="shared" si="67"/>
        <v>1</v>
      </c>
      <c r="E799" t="b">
        <f t="shared" si="68"/>
        <v>1</v>
      </c>
    </row>
    <row r="800" spans="1:5" ht="15" hidden="1" thickTop="1" thickBot="1" x14ac:dyDescent="0.5">
      <c r="A800" s="2" t="str">
        <f>Traduction!C188</f>
        <v>Année de fin si temporaire</v>
      </c>
      <c r="B800" s="95"/>
      <c r="C800" s="95"/>
      <c r="D800" t="b">
        <f t="shared" si="67"/>
        <v>1</v>
      </c>
      <c r="E800" t="b">
        <f t="shared" si="68"/>
        <v>1</v>
      </c>
    </row>
    <row r="801" spans="1:5" ht="15" hidden="1" thickTop="1" thickBot="1" x14ac:dyDescent="0.5">
      <c r="A801" s="2" t="str">
        <f>Traduction!C194</f>
        <v>Prime annuelle ($)</v>
      </c>
      <c r="B801" s="94"/>
      <c r="C801" s="94"/>
      <c r="D801" t="b">
        <f t="shared" si="67"/>
        <v>1</v>
      </c>
      <c r="E801" t="b">
        <f t="shared" si="68"/>
        <v>1</v>
      </c>
    </row>
    <row r="802" spans="1:5" ht="15" hidden="1" thickTop="1" thickBot="1" x14ac:dyDescent="0.5">
      <c r="A802" s="2" t="str">
        <f>Traduction!C189</f>
        <v>Taux de croissance de la valeur de rachat si vie universelle (%)</v>
      </c>
      <c r="B802" s="96"/>
      <c r="C802" s="96"/>
      <c r="D802" t="b">
        <f t="shared" si="67"/>
        <v>1</v>
      </c>
      <c r="E802" t="b">
        <f t="shared" si="68"/>
        <v>1</v>
      </c>
    </row>
    <row r="803" spans="1:5" ht="15" hidden="1" thickTop="1" thickBot="1" x14ac:dyDescent="0.5">
      <c r="A803" s="2" t="str">
        <f>Traduction!C190</f>
        <v>Fonds payable au décès si vie universelle ($)</v>
      </c>
      <c r="B803" s="94"/>
      <c r="C803" s="94"/>
      <c r="D803" t="b">
        <f t="shared" si="67"/>
        <v>1</v>
      </c>
      <c r="E803" t="b">
        <f t="shared" si="68"/>
        <v>1</v>
      </c>
    </row>
    <row r="804" spans="1:5" hidden="1" x14ac:dyDescent="0.45">
      <c r="A804" s="163" t="str">
        <f>Traduction!C180</f>
        <v>Police 6</v>
      </c>
      <c r="B804" s="164"/>
      <c r="C804" s="165"/>
    </row>
    <row r="805" spans="1:5" hidden="1" x14ac:dyDescent="0.45">
      <c r="A805" s="13" t="str">
        <f>Traduction!C192</f>
        <v xml:space="preserve">Je joins une copie de l'illustration détaillée qui contient l'évolution du CBR et de la valeur de rachat pour chaque année. </v>
      </c>
      <c r="B805" s="138"/>
      <c r="C805" s="139"/>
      <c r="D805" t="b">
        <f>IF(NbAssCorpo&gt;=6,IF(B805="",TRUE))</f>
        <v>1</v>
      </c>
    </row>
    <row r="806" spans="1:5" hidden="1" x14ac:dyDescent="0.45">
      <c r="A806" s="2" t="str">
        <f>Traduction!C186</f>
        <v>Personne assurée</v>
      </c>
      <c r="B806" s="138"/>
      <c r="C806" s="139"/>
      <c r="D806" t="b">
        <f>IF(NbAssCorpo&gt;=6,IF(B806="",TRUE))</f>
        <v>1</v>
      </c>
    </row>
    <row r="807" spans="1:5" ht="14.65" hidden="1" thickBot="1" x14ac:dyDescent="0.5">
      <c r="A807" s="2" t="s">
        <v>17</v>
      </c>
      <c r="B807" s="138"/>
      <c r="C807" s="139"/>
      <c r="D807" t="b">
        <f>IF(NbAssCorpo&gt;=6,IF(B807="",TRUE))</f>
        <v>1</v>
      </c>
    </row>
    <row r="808" spans="1:5" ht="15" hidden="1" thickTop="1" thickBot="1" x14ac:dyDescent="0.5">
      <c r="A808" s="2" t="str">
        <f>Traduction!C187</f>
        <v>Capital décès ($)</v>
      </c>
      <c r="B808" s="94"/>
      <c r="C808" s="94"/>
      <c r="D808" t="b">
        <f t="shared" ref="D808:D813" si="69">IF(IF(AND(C808="",B808="",NbAssCorpo&gt;=6),TRUE),TRUE,FALSE)</f>
        <v>1</v>
      </c>
      <c r="E808" t="b">
        <f t="shared" ref="E808:E813" si="70">IF(NbClients=2,IF(AND(C808="",B808="",NbAssCorpo&gt;=6),TRUE),FALSE)</f>
        <v>1</v>
      </c>
    </row>
    <row r="809" spans="1:5" ht="15" hidden="1" thickTop="1" thickBot="1" x14ac:dyDescent="0.5">
      <c r="A809" s="2" t="str">
        <f>Traduction!C193</f>
        <v>Prestation maladie ($)</v>
      </c>
      <c r="B809" s="94"/>
      <c r="C809" s="94"/>
      <c r="D809" t="b">
        <f t="shared" si="69"/>
        <v>1</v>
      </c>
      <c r="E809" t="b">
        <f t="shared" si="70"/>
        <v>1</v>
      </c>
    </row>
    <row r="810" spans="1:5" ht="15" hidden="1" thickTop="1" thickBot="1" x14ac:dyDescent="0.5">
      <c r="A810" s="2" t="str">
        <f>Traduction!C188</f>
        <v>Année de fin si temporaire</v>
      </c>
      <c r="B810" s="95"/>
      <c r="C810" s="95"/>
      <c r="D810" t="b">
        <f t="shared" si="69"/>
        <v>1</v>
      </c>
      <c r="E810" t="b">
        <f t="shared" si="70"/>
        <v>1</v>
      </c>
    </row>
    <row r="811" spans="1:5" ht="15" hidden="1" thickTop="1" thickBot="1" x14ac:dyDescent="0.5">
      <c r="A811" s="2" t="str">
        <f>Traduction!C194</f>
        <v>Prime annuelle ($)</v>
      </c>
      <c r="B811" s="94"/>
      <c r="C811" s="94"/>
      <c r="D811" t="b">
        <f t="shared" si="69"/>
        <v>1</v>
      </c>
      <c r="E811" t="b">
        <f t="shared" si="70"/>
        <v>1</v>
      </c>
    </row>
    <row r="812" spans="1:5" ht="15" hidden="1" thickTop="1" thickBot="1" x14ac:dyDescent="0.5">
      <c r="A812" s="2" t="str">
        <f>Traduction!C189</f>
        <v>Taux de croissance de la valeur de rachat si vie universelle (%)</v>
      </c>
      <c r="B812" s="96"/>
      <c r="C812" s="96"/>
      <c r="D812" t="b">
        <f t="shared" si="69"/>
        <v>1</v>
      </c>
      <c r="E812" t="b">
        <f t="shared" si="70"/>
        <v>1</v>
      </c>
    </row>
    <row r="813" spans="1:5" ht="15" hidden="1" thickTop="1" thickBot="1" x14ac:dyDescent="0.5">
      <c r="A813" s="2" t="str">
        <f>Traduction!C190</f>
        <v>Fonds payable au décès si vie universelle ($)</v>
      </c>
      <c r="B813" s="94"/>
      <c r="C813" s="94"/>
      <c r="D813" t="b">
        <f t="shared" si="69"/>
        <v>1</v>
      </c>
      <c r="E813" t="b">
        <f t="shared" si="70"/>
        <v>1</v>
      </c>
    </row>
    <row r="814" spans="1:5" hidden="1" x14ac:dyDescent="0.45">
      <c r="A814" s="163" t="str">
        <f>Traduction!C181</f>
        <v>Police 7</v>
      </c>
      <c r="B814" s="164"/>
      <c r="C814" s="165"/>
    </row>
    <row r="815" spans="1:5" hidden="1" x14ac:dyDescent="0.45">
      <c r="A815" s="13" t="str">
        <f>Traduction!C192</f>
        <v xml:space="preserve">Je joins une copie de l'illustration détaillée qui contient l'évolution du CBR et de la valeur de rachat pour chaque année. </v>
      </c>
      <c r="B815" s="138"/>
      <c r="C815" s="139"/>
      <c r="D815" t="b">
        <f>IF(NbAssCorpo&gt;=7,IF(B815="",TRUE))</f>
        <v>1</v>
      </c>
    </row>
    <row r="816" spans="1:5" hidden="1" x14ac:dyDescent="0.45">
      <c r="A816" s="2" t="str">
        <f>Traduction!C186</f>
        <v>Personne assurée</v>
      </c>
      <c r="B816" s="138"/>
      <c r="C816" s="139"/>
      <c r="D816" t="b">
        <f>IF(NbAssCorpo&gt;=7,IF(B816="",TRUE))</f>
        <v>1</v>
      </c>
    </row>
    <row r="817" spans="1:5" ht="14.65" hidden="1" thickBot="1" x14ac:dyDescent="0.5">
      <c r="A817" s="2" t="s">
        <v>17</v>
      </c>
      <c r="B817" s="138"/>
      <c r="C817" s="139"/>
      <c r="D817" t="b">
        <f>IF(NbAssCorpo&gt;=7,IF(B817="",TRUE))</f>
        <v>1</v>
      </c>
    </row>
    <row r="818" spans="1:5" ht="15" hidden="1" thickTop="1" thickBot="1" x14ac:dyDescent="0.5">
      <c r="A818" s="2" t="str">
        <f>Traduction!C187</f>
        <v>Capital décès ($)</v>
      </c>
      <c r="B818" s="94"/>
      <c r="C818" s="94"/>
      <c r="D818" t="b">
        <f t="shared" ref="D818:D823" si="71">IF(IF(AND(C818="",B818="",NbAssCorpo&gt;=7),TRUE),TRUE,FALSE)</f>
        <v>1</v>
      </c>
      <c r="E818" t="b">
        <f t="shared" ref="E818:E823" si="72">IF(NbClients=2,IF(AND(C818="",B818="",NbAssCorpo&gt;=7),TRUE),FALSE)</f>
        <v>1</v>
      </c>
    </row>
    <row r="819" spans="1:5" ht="15" hidden="1" thickTop="1" thickBot="1" x14ac:dyDescent="0.5">
      <c r="A819" s="2" t="str">
        <f>Traduction!C193</f>
        <v>Prestation maladie ($)</v>
      </c>
      <c r="B819" s="94"/>
      <c r="C819" s="94"/>
      <c r="D819" t="b">
        <f t="shared" si="71"/>
        <v>1</v>
      </c>
      <c r="E819" t="b">
        <f t="shared" si="72"/>
        <v>1</v>
      </c>
    </row>
    <row r="820" spans="1:5" ht="15" hidden="1" thickTop="1" thickBot="1" x14ac:dyDescent="0.5">
      <c r="A820" s="2" t="str">
        <f>Traduction!C188</f>
        <v>Année de fin si temporaire</v>
      </c>
      <c r="B820" s="95"/>
      <c r="C820" s="95"/>
      <c r="D820" t="b">
        <f t="shared" si="71"/>
        <v>1</v>
      </c>
      <c r="E820" t="b">
        <f t="shared" si="72"/>
        <v>1</v>
      </c>
    </row>
    <row r="821" spans="1:5" ht="15" hidden="1" thickTop="1" thickBot="1" x14ac:dyDescent="0.5">
      <c r="A821" s="2" t="str">
        <f>Traduction!C194</f>
        <v>Prime annuelle ($)</v>
      </c>
      <c r="B821" s="94"/>
      <c r="C821" s="94"/>
      <c r="D821" t="b">
        <f t="shared" si="71"/>
        <v>1</v>
      </c>
      <c r="E821" t="b">
        <f t="shared" si="72"/>
        <v>1</v>
      </c>
    </row>
    <row r="822" spans="1:5" ht="15" hidden="1" thickTop="1" thickBot="1" x14ac:dyDescent="0.5">
      <c r="A822" s="2" t="str">
        <f>Traduction!C189</f>
        <v>Taux de croissance de la valeur de rachat si vie universelle (%)</v>
      </c>
      <c r="B822" s="96"/>
      <c r="C822" s="96"/>
      <c r="D822" t="b">
        <f t="shared" si="71"/>
        <v>1</v>
      </c>
      <c r="E822" t="b">
        <f t="shared" si="72"/>
        <v>1</v>
      </c>
    </row>
    <row r="823" spans="1:5" ht="15" hidden="1" thickTop="1" thickBot="1" x14ac:dyDescent="0.5">
      <c r="A823" s="2" t="str">
        <f>Traduction!C190</f>
        <v>Fonds payable au décès si vie universelle ($)</v>
      </c>
      <c r="B823" s="94"/>
      <c r="C823" s="94"/>
      <c r="D823" t="b">
        <f t="shared" si="71"/>
        <v>1</v>
      </c>
      <c r="E823" t="b">
        <f t="shared" si="72"/>
        <v>1</v>
      </c>
    </row>
    <row r="824" spans="1:5" hidden="1" x14ac:dyDescent="0.45">
      <c r="A824" s="163" t="str">
        <f>Traduction!C182</f>
        <v>Police 8</v>
      </c>
      <c r="B824" s="164"/>
      <c r="C824" s="165"/>
    </row>
    <row r="825" spans="1:5" hidden="1" x14ac:dyDescent="0.45">
      <c r="A825" s="13" t="str">
        <f>Traduction!C192</f>
        <v xml:space="preserve">Je joins une copie de l'illustration détaillée qui contient l'évolution du CBR et de la valeur de rachat pour chaque année. </v>
      </c>
      <c r="B825" s="138"/>
      <c r="C825" s="139"/>
      <c r="D825" t="b">
        <f>IF(NbAssCorpo&gt;=8,IF(B825="",TRUE))</f>
        <v>1</v>
      </c>
    </row>
    <row r="826" spans="1:5" hidden="1" x14ac:dyDescent="0.45">
      <c r="A826" s="2" t="str">
        <f>Traduction!C186</f>
        <v>Personne assurée</v>
      </c>
      <c r="B826" s="138"/>
      <c r="C826" s="139"/>
      <c r="D826" t="b">
        <f>IF(NbAssCorpo&gt;=8,IF(B826="",TRUE))</f>
        <v>1</v>
      </c>
    </row>
    <row r="827" spans="1:5" ht="14.65" hidden="1" thickBot="1" x14ac:dyDescent="0.5">
      <c r="A827" s="2" t="s">
        <v>17</v>
      </c>
      <c r="B827" s="138"/>
      <c r="C827" s="139"/>
      <c r="D827" t="b">
        <f>IF(NbAssCorpo&gt;=8,IF(B827="",TRUE))</f>
        <v>1</v>
      </c>
    </row>
    <row r="828" spans="1:5" ht="15" hidden="1" thickTop="1" thickBot="1" x14ac:dyDescent="0.5">
      <c r="A828" s="2" t="str">
        <f>Traduction!C187</f>
        <v>Capital décès ($)</v>
      </c>
      <c r="B828" s="94"/>
      <c r="C828" s="94"/>
      <c r="D828" t="b">
        <f t="shared" ref="D828:D833" si="73">IF(IF(AND(C828="",B828="",NbAssCorpo&gt;=8),TRUE),TRUE,FALSE)</f>
        <v>1</v>
      </c>
      <c r="E828" t="b">
        <f t="shared" ref="E828:E833" si="74">IF(NbClients=2,IF(AND(C828="",B828="",NbAssCorpo&gt;=8),TRUE),FALSE)</f>
        <v>1</v>
      </c>
    </row>
    <row r="829" spans="1:5" ht="15" hidden="1" thickTop="1" thickBot="1" x14ac:dyDescent="0.5">
      <c r="A829" s="2" t="str">
        <f>Traduction!C193</f>
        <v>Prestation maladie ($)</v>
      </c>
      <c r="B829" s="94"/>
      <c r="C829" s="94"/>
      <c r="D829" t="b">
        <f t="shared" si="73"/>
        <v>1</v>
      </c>
      <c r="E829" t="b">
        <f t="shared" si="74"/>
        <v>1</v>
      </c>
    </row>
    <row r="830" spans="1:5" ht="15" hidden="1" thickTop="1" thickBot="1" x14ac:dyDescent="0.5">
      <c r="A830" s="2" t="str">
        <f>Traduction!C188</f>
        <v>Année de fin si temporaire</v>
      </c>
      <c r="B830" s="95"/>
      <c r="C830" s="95"/>
      <c r="D830" t="b">
        <f t="shared" si="73"/>
        <v>1</v>
      </c>
      <c r="E830" t="b">
        <f t="shared" si="74"/>
        <v>1</v>
      </c>
    </row>
    <row r="831" spans="1:5" ht="15" hidden="1" thickTop="1" thickBot="1" x14ac:dyDescent="0.5">
      <c r="A831" s="2" t="str">
        <f>Traduction!C194</f>
        <v>Prime annuelle ($)</v>
      </c>
      <c r="B831" s="94"/>
      <c r="C831" s="94"/>
      <c r="D831" t="b">
        <f t="shared" si="73"/>
        <v>1</v>
      </c>
      <c r="E831" t="b">
        <f t="shared" si="74"/>
        <v>1</v>
      </c>
    </row>
    <row r="832" spans="1:5" ht="15" hidden="1" thickTop="1" thickBot="1" x14ac:dyDescent="0.5">
      <c r="A832" s="2" t="str">
        <f>Traduction!C189</f>
        <v>Taux de croissance de la valeur de rachat si vie universelle (%)</v>
      </c>
      <c r="B832" s="96"/>
      <c r="C832" s="96"/>
      <c r="D832" t="b">
        <f t="shared" si="73"/>
        <v>1</v>
      </c>
      <c r="E832" t="b">
        <f t="shared" si="74"/>
        <v>1</v>
      </c>
    </row>
    <row r="833" spans="1:5" ht="15" hidden="1" thickTop="1" thickBot="1" x14ac:dyDescent="0.5">
      <c r="A833" s="2" t="str">
        <f>Traduction!C190</f>
        <v>Fonds payable au décès si vie universelle ($)</v>
      </c>
      <c r="B833" s="94"/>
      <c r="C833" s="94"/>
      <c r="D833" t="b">
        <f t="shared" si="73"/>
        <v>1</v>
      </c>
      <c r="E833" t="b">
        <f t="shared" si="74"/>
        <v>1</v>
      </c>
    </row>
    <row r="834" spans="1:5" hidden="1" x14ac:dyDescent="0.45">
      <c r="A834" s="163" t="str">
        <f>Traduction!C183</f>
        <v>Police 9</v>
      </c>
      <c r="B834" s="164"/>
      <c r="C834" s="165"/>
    </row>
    <row r="835" spans="1:5" hidden="1" x14ac:dyDescent="0.45">
      <c r="A835" s="13" t="str">
        <f>Traduction!C192</f>
        <v xml:space="preserve">Je joins une copie de l'illustration détaillée qui contient l'évolution du CBR et de la valeur de rachat pour chaque année. </v>
      </c>
      <c r="B835" s="138"/>
      <c r="C835" s="139"/>
      <c r="D835" t="b">
        <f>IF(NbAssCorpo&gt;=9,IF(B835="",TRUE))</f>
        <v>1</v>
      </c>
    </row>
    <row r="836" spans="1:5" hidden="1" x14ac:dyDescent="0.45">
      <c r="A836" s="2" t="str">
        <f>Traduction!C186</f>
        <v>Personne assurée</v>
      </c>
      <c r="B836" s="138"/>
      <c r="C836" s="139"/>
      <c r="D836" t="b">
        <f>IF(NbAssCorpo&gt;=9,IF(B836="",TRUE))</f>
        <v>1</v>
      </c>
    </row>
    <row r="837" spans="1:5" ht="14.65" hidden="1" thickBot="1" x14ac:dyDescent="0.5">
      <c r="A837" s="2" t="s">
        <v>17</v>
      </c>
      <c r="B837" s="138"/>
      <c r="C837" s="139"/>
      <c r="D837" t="b">
        <f>IF(NbAssCorpo&gt;=9,IF(B837="",TRUE))</f>
        <v>1</v>
      </c>
    </row>
    <row r="838" spans="1:5" ht="15" hidden="1" thickTop="1" thickBot="1" x14ac:dyDescent="0.5">
      <c r="A838" s="2" t="str">
        <f>Traduction!C187</f>
        <v>Capital décès ($)</v>
      </c>
      <c r="B838" s="94"/>
      <c r="C838" s="94"/>
      <c r="D838" t="b">
        <f t="shared" ref="D838:D843" si="75">IF(IF(AND(C838="",B838="",NbAssCorpo&gt;=9),TRUE),TRUE,FALSE)</f>
        <v>1</v>
      </c>
      <c r="E838" t="b">
        <f t="shared" ref="E838:E843" si="76">IF(NbClients=2,IF(AND(C838="",B838="",NbAssCorpo&gt;=9),TRUE),FALSE)</f>
        <v>1</v>
      </c>
    </row>
    <row r="839" spans="1:5" ht="15" hidden="1" thickTop="1" thickBot="1" x14ac:dyDescent="0.5">
      <c r="A839" s="2" t="str">
        <f>Traduction!C193</f>
        <v>Prestation maladie ($)</v>
      </c>
      <c r="B839" s="94"/>
      <c r="C839" s="94"/>
      <c r="D839" t="b">
        <f t="shared" si="75"/>
        <v>1</v>
      </c>
      <c r="E839" t="b">
        <f t="shared" si="76"/>
        <v>1</v>
      </c>
    </row>
    <row r="840" spans="1:5" ht="15" hidden="1" thickTop="1" thickBot="1" x14ac:dyDescent="0.5">
      <c r="A840" s="2" t="str">
        <f>Traduction!C188</f>
        <v>Année de fin si temporaire</v>
      </c>
      <c r="B840" s="95"/>
      <c r="C840" s="95"/>
      <c r="D840" t="b">
        <f t="shared" si="75"/>
        <v>1</v>
      </c>
      <c r="E840" t="b">
        <f t="shared" si="76"/>
        <v>1</v>
      </c>
    </row>
    <row r="841" spans="1:5" ht="15" hidden="1" thickTop="1" thickBot="1" x14ac:dyDescent="0.5">
      <c r="A841" s="2" t="str">
        <f>Traduction!C194</f>
        <v>Prime annuelle ($)</v>
      </c>
      <c r="B841" s="94"/>
      <c r="C841" s="94"/>
      <c r="D841" t="b">
        <f t="shared" si="75"/>
        <v>1</v>
      </c>
      <c r="E841" t="b">
        <f t="shared" si="76"/>
        <v>1</v>
      </c>
    </row>
    <row r="842" spans="1:5" ht="15" hidden="1" thickTop="1" thickBot="1" x14ac:dyDescent="0.5">
      <c r="A842" s="2" t="str">
        <f>Traduction!C189</f>
        <v>Taux de croissance de la valeur de rachat si vie universelle (%)</v>
      </c>
      <c r="B842" s="96"/>
      <c r="C842" s="96"/>
      <c r="D842" t="b">
        <f t="shared" si="75"/>
        <v>1</v>
      </c>
      <c r="E842" t="b">
        <f t="shared" si="76"/>
        <v>1</v>
      </c>
    </row>
    <row r="843" spans="1:5" ht="15" hidden="1" thickTop="1" thickBot="1" x14ac:dyDescent="0.5">
      <c r="A843" s="2" t="str">
        <f>Traduction!C190</f>
        <v>Fonds payable au décès si vie universelle ($)</v>
      </c>
      <c r="B843" s="94"/>
      <c r="C843" s="94"/>
      <c r="D843" t="b">
        <f t="shared" si="75"/>
        <v>1</v>
      </c>
      <c r="E843" t="b">
        <f t="shared" si="76"/>
        <v>1</v>
      </c>
    </row>
    <row r="844" spans="1:5" hidden="1" x14ac:dyDescent="0.45">
      <c r="A844" s="163" t="str">
        <f>Traduction!C184</f>
        <v>Police 10</v>
      </c>
      <c r="B844" s="164"/>
      <c r="C844" s="165"/>
    </row>
    <row r="845" spans="1:5" hidden="1" x14ac:dyDescent="0.45">
      <c r="A845" s="13" t="str">
        <f>Traduction!C192</f>
        <v xml:space="preserve">Je joins une copie de l'illustration détaillée qui contient l'évolution du CBR et de la valeur de rachat pour chaque année. </v>
      </c>
      <c r="B845" s="138"/>
      <c r="C845" s="139"/>
      <c r="D845" t="b">
        <f>IF(NbAssCorpo&gt;=10,IF(B845="",TRUE))</f>
        <v>1</v>
      </c>
    </row>
    <row r="846" spans="1:5" hidden="1" x14ac:dyDescent="0.45">
      <c r="A846" s="2" t="str">
        <f>Traduction!C186</f>
        <v>Personne assurée</v>
      </c>
      <c r="B846" s="138"/>
      <c r="C846" s="139"/>
      <c r="D846" t="b">
        <f>IF(NbAssCorpo&gt;=10,IF(B846="",TRUE))</f>
        <v>1</v>
      </c>
    </row>
    <row r="847" spans="1:5" ht="14.65" hidden="1" thickBot="1" x14ac:dyDescent="0.5">
      <c r="A847" s="2" t="s">
        <v>17</v>
      </c>
      <c r="B847" s="138"/>
      <c r="C847" s="139"/>
      <c r="D847" t="b">
        <f>IF(NbAssCorpo&gt;=10,IF(B847="",TRUE))</f>
        <v>1</v>
      </c>
    </row>
    <row r="848" spans="1:5" ht="15" hidden="1" thickTop="1" thickBot="1" x14ac:dyDescent="0.5">
      <c r="A848" s="2" t="str">
        <f>Traduction!C187</f>
        <v>Capital décès ($)</v>
      </c>
      <c r="B848" s="94"/>
      <c r="C848" s="94"/>
      <c r="D848" t="b">
        <f t="shared" ref="D848:D853" si="77">IF(IF(AND(C848="",B848="",NbAssCorpo&gt;=10),TRUE),TRUE,FALSE)</f>
        <v>1</v>
      </c>
      <c r="E848" t="b">
        <f t="shared" ref="E848:E853" si="78">IF(NbClients=2,IF(AND(C848="",B848="",NbAssCorpo&gt;=10),TRUE),FALSE)</f>
        <v>1</v>
      </c>
    </row>
    <row r="849" spans="1:5" ht="15" hidden="1" thickTop="1" thickBot="1" x14ac:dyDescent="0.5">
      <c r="A849" s="2" t="str">
        <f>Traduction!C193</f>
        <v>Prestation maladie ($)</v>
      </c>
      <c r="B849" s="94"/>
      <c r="C849" s="94"/>
      <c r="D849" t="b">
        <f t="shared" si="77"/>
        <v>1</v>
      </c>
      <c r="E849" t="b">
        <f t="shared" si="78"/>
        <v>1</v>
      </c>
    </row>
    <row r="850" spans="1:5" ht="15" hidden="1" thickTop="1" thickBot="1" x14ac:dyDescent="0.5">
      <c r="A850" s="2" t="str">
        <f>Traduction!C188</f>
        <v>Année de fin si temporaire</v>
      </c>
      <c r="B850" s="95"/>
      <c r="C850" s="95"/>
      <c r="D850" t="b">
        <f t="shared" si="77"/>
        <v>1</v>
      </c>
      <c r="E850" t="b">
        <f t="shared" si="78"/>
        <v>1</v>
      </c>
    </row>
    <row r="851" spans="1:5" ht="15" hidden="1" thickTop="1" thickBot="1" x14ac:dyDescent="0.5">
      <c r="A851" s="2" t="str">
        <f>Traduction!C194</f>
        <v>Prime annuelle ($)</v>
      </c>
      <c r="B851" s="94"/>
      <c r="C851" s="94"/>
      <c r="D851" t="b">
        <f t="shared" si="77"/>
        <v>1</v>
      </c>
      <c r="E851" t="b">
        <f t="shared" si="78"/>
        <v>1</v>
      </c>
    </row>
    <row r="852" spans="1:5" ht="15" hidden="1" thickTop="1" thickBot="1" x14ac:dyDescent="0.5">
      <c r="A852" s="2" t="str">
        <f>Traduction!C189</f>
        <v>Taux de croissance de la valeur de rachat si vie universelle (%)</v>
      </c>
      <c r="B852" s="96"/>
      <c r="C852" s="96"/>
      <c r="D852" t="b">
        <f t="shared" si="77"/>
        <v>1</v>
      </c>
      <c r="E852" t="b">
        <f t="shared" si="78"/>
        <v>1</v>
      </c>
    </row>
    <row r="853" spans="1:5" ht="15" hidden="1" thickTop="1" thickBot="1" x14ac:dyDescent="0.5">
      <c r="A853" s="2" t="str">
        <f>Traduction!C190</f>
        <v>Fonds payable au décès si vie universelle ($)</v>
      </c>
      <c r="B853" s="94"/>
      <c r="C853" s="94"/>
      <c r="D853" t="b">
        <f t="shared" si="77"/>
        <v>1</v>
      </c>
      <c r="E853" t="b">
        <f t="shared" si="78"/>
        <v>1</v>
      </c>
    </row>
    <row r="854" spans="1:5" ht="15" customHeight="1" x14ac:dyDescent="0.45">
      <c r="A854" s="162" t="str">
        <f>Traduction!C195</f>
        <v>Autre(s) actif(s)</v>
      </c>
      <c r="B854" s="162"/>
      <c r="C854" s="162"/>
    </row>
    <row r="855" spans="1:5" ht="14.65" customHeight="1" x14ac:dyDescent="0.45">
      <c r="A855" s="160"/>
      <c r="B855" s="160"/>
      <c r="C855" s="160"/>
    </row>
    <row r="856" spans="1:5" x14ac:dyDescent="0.45">
      <c r="A856" s="191" t="str">
        <f>Traduction!C196</f>
        <v>Actif 1</v>
      </c>
      <c r="B856" s="192"/>
      <c r="C856" s="193"/>
    </row>
    <row r="857" spans="1:5" x14ac:dyDescent="0.45">
      <c r="A857" s="2" t="str">
        <f>Traduction!C201</f>
        <v>Type (ex. résidence, chalet, actifs d'entreprise etc.)</v>
      </c>
      <c r="B857" s="138"/>
      <c r="C857" s="139"/>
      <c r="D857" t="b">
        <f t="shared" ref="D857:D868" si="79">IF(NbAutresActifs&gt;=1,IF(B857="",TRUE))</f>
        <v>1</v>
      </c>
    </row>
    <row r="858" spans="1:5" ht="28.5" x14ac:dyDescent="0.45">
      <c r="A858" s="68" t="str">
        <f>Traduction!C202</f>
        <v xml:space="preserve">Nom du ou des détenteur(s) (nom de la société ou du client, les informations doivent être inscrites dans les sections précédentes pour être inclus dans le menu déroulant) </v>
      </c>
      <c r="B858" s="138"/>
      <c r="C858" s="139"/>
      <c r="D858" t="b">
        <f t="shared" si="79"/>
        <v>1</v>
      </c>
    </row>
    <row r="859" spans="1:5" x14ac:dyDescent="0.45">
      <c r="A859" s="2" t="str">
        <f>Traduction!C203</f>
        <v>Pourcentage détenu par le client ou la société (%)</v>
      </c>
      <c r="B859" s="138"/>
      <c r="C859" s="139"/>
      <c r="D859" t="b">
        <f t="shared" si="79"/>
        <v>1</v>
      </c>
    </row>
    <row r="860" spans="1:5" x14ac:dyDescent="0.45">
      <c r="A860" s="2" t="str">
        <f>Traduction!C204</f>
        <v>Valeur marchande totale ($)</v>
      </c>
      <c r="B860" s="148"/>
      <c r="C860" s="149"/>
      <c r="D860" t="b">
        <f t="shared" si="79"/>
        <v>1</v>
      </c>
    </row>
    <row r="861" spans="1:5" x14ac:dyDescent="0.45">
      <c r="A861" s="2" t="str">
        <f>Traduction!C205</f>
        <v>Prix de base rajusté total ($)</v>
      </c>
      <c r="B861" s="148"/>
      <c r="C861" s="149"/>
      <c r="D861" t="b">
        <f t="shared" si="79"/>
        <v>1</v>
      </c>
    </row>
    <row r="862" spans="1:5" x14ac:dyDescent="0.45">
      <c r="A862" s="2" t="str">
        <f>Traduction!C206</f>
        <v>Revenus nets annuels s'il y a lieu ($)</v>
      </c>
      <c r="B862" s="148"/>
      <c r="C862" s="149"/>
      <c r="D862" t="b">
        <f t="shared" si="79"/>
        <v>1</v>
      </c>
    </row>
    <row r="863" spans="1:5" x14ac:dyDescent="0.45">
      <c r="A863" s="2" t="str">
        <f>Traduction!C207</f>
        <v>Fraction non amortie du coût en capital s'il y a lieu ($)</v>
      </c>
      <c r="B863" s="148"/>
      <c r="C863" s="149"/>
      <c r="D863" t="b">
        <f t="shared" si="79"/>
        <v>1</v>
      </c>
    </row>
    <row r="864" spans="1:5" x14ac:dyDescent="0.45">
      <c r="A864" s="2" t="str">
        <f>Traduction!C208</f>
        <v>Biens agricoles ou de pêches admissibles (BAPA)</v>
      </c>
      <c r="B864" s="138"/>
      <c r="C864" s="139"/>
      <c r="D864" t="b">
        <f t="shared" si="79"/>
        <v>1</v>
      </c>
    </row>
    <row r="865" spans="1:4" x14ac:dyDescent="0.45">
      <c r="A865" s="2" t="str">
        <f>Traduction!C209</f>
        <v>Solde du prêt ($)</v>
      </c>
      <c r="B865" s="148"/>
      <c r="C865" s="149"/>
      <c r="D865" t="b">
        <f t="shared" si="79"/>
        <v>1</v>
      </c>
    </row>
    <row r="866" spans="1:4" x14ac:dyDescent="0.45">
      <c r="A866" s="2" t="str">
        <f>Traduction!C210</f>
        <v>Date de fin du paiement du prêt (aaaa-mm-jj)</v>
      </c>
      <c r="B866" s="138"/>
      <c r="C866" s="139"/>
      <c r="D866" t="b">
        <f t="shared" si="79"/>
        <v>1</v>
      </c>
    </row>
    <row r="867" spans="1:4" x14ac:dyDescent="0.45">
      <c r="A867" s="2" t="str">
        <f>Traduction!C211</f>
        <v>Taux d'intérêt sur le prêt (%)</v>
      </c>
      <c r="B867" s="194"/>
      <c r="C867" s="195"/>
      <c r="D867" t="b">
        <f t="shared" si="79"/>
        <v>1</v>
      </c>
    </row>
    <row r="868" spans="1:4" x14ac:dyDescent="0.45">
      <c r="A868" s="2" t="str">
        <f>Traduction!C212</f>
        <v>Année de vente</v>
      </c>
      <c r="B868" s="138"/>
      <c r="C868" s="139"/>
      <c r="D868" t="b">
        <f t="shared" si="79"/>
        <v>1</v>
      </c>
    </row>
    <row r="869" spans="1:4" hidden="1" x14ac:dyDescent="0.45">
      <c r="A869" s="173" t="str">
        <f>Traduction!C197</f>
        <v>Actif 2</v>
      </c>
      <c r="B869" s="174"/>
      <c r="C869" s="175"/>
    </row>
    <row r="870" spans="1:4" hidden="1" x14ac:dyDescent="0.45">
      <c r="A870" s="2" t="str">
        <f>Traduction!C201</f>
        <v>Type (ex. résidence, chalet, actifs d'entreprise etc.)</v>
      </c>
      <c r="B870" s="138"/>
      <c r="C870" s="139"/>
      <c r="D870" t="b">
        <f t="shared" ref="D870:D881" si="80">IF(NbAutresActifs&gt;=2,IF(B870="",TRUE))</f>
        <v>0</v>
      </c>
    </row>
    <row r="871" spans="1:4" ht="28.5" hidden="1" x14ac:dyDescent="0.45">
      <c r="A871" s="68" t="str">
        <f>Traduction!C202</f>
        <v xml:space="preserve">Nom du ou des détenteur(s) (nom de la société ou du client, les informations doivent être inscrites dans les sections précédentes pour être inclus dans le menu déroulant) </v>
      </c>
      <c r="B871" s="138"/>
      <c r="C871" s="139"/>
      <c r="D871" t="b">
        <f t="shared" si="80"/>
        <v>0</v>
      </c>
    </row>
    <row r="872" spans="1:4" hidden="1" x14ac:dyDescent="0.45">
      <c r="A872" s="2" t="str">
        <f>Traduction!C203</f>
        <v>Pourcentage détenu par le client ou la société (%)</v>
      </c>
      <c r="B872" s="138"/>
      <c r="C872" s="139"/>
      <c r="D872" t="b">
        <f t="shared" si="80"/>
        <v>0</v>
      </c>
    </row>
    <row r="873" spans="1:4" hidden="1" x14ac:dyDescent="0.45">
      <c r="A873" s="2" t="str">
        <f>Traduction!C204</f>
        <v>Valeur marchande totale ($)</v>
      </c>
      <c r="B873" s="148"/>
      <c r="C873" s="149"/>
      <c r="D873" t="b">
        <f t="shared" si="80"/>
        <v>0</v>
      </c>
    </row>
    <row r="874" spans="1:4" hidden="1" x14ac:dyDescent="0.45">
      <c r="A874" s="2" t="str">
        <f>Traduction!C205</f>
        <v>Prix de base rajusté total ($)</v>
      </c>
      <c r="B874" s="148"/>
      <c r="C874" s="149"/>
      <c r="D874" t="b">
        <f t="shared" si="80"/>
        <v>0</v>
      </c>
    </row>
    <row r="875" spans="1:4" hidden="1" x14ac:dyDescent="0.45">
      <c r="A875" s="2" t="str">
        <f>Traduction!C206</f>
        <v>Revenus nets annuels s'il y a lieu ($)</v>
      </c>
      <c r="B875" s="148"/>
      <c r="C875" s="149"/>
      <c r="D875" t="b">
        <f t="shared" si="80"/>
        <v>0</v>
      </c>
    </row>
    <row r="876" spans="1:4" hidden="1" x14ac:dyDescent="0.45">
      <c r="A876" s="2" t="str">
        <f>Traduction!C207</f>
        <v>Fraction non amortie du coût en capital s'il y a lieu ($)</v>
      </c>
      <c r="B876" s="148"/>
      <c r="C876" s="149"/>
      <c r="D876" t="b">
        <f t="shared" si="80"/>
        <v>0</v>
      </c>
    </row>
    <row r="877" spans="1:4" hidden="1" x14ac:dyDescent="0.45">
      <c r="A877" s="2" t="str">
        <f>Traduction!C208</f>
        <v>Biens agricoles ou de pêches admissibles (BAPA)</v>
      </c>
      <c r="B877" s="138"/>
      <c r="C877" s="139"/>
      <c r="D877" t="b">
        <f t="shared" si="80"/>
        <v>0</v>
      </c>
    </row>
    <row r="878" spans="1:4" hidden="1" x14ac:dyDescent="0.45">
      <c r="A878" s="2" t="str">
        <f>Traduction!C209</f>
        <v>Solde du prêt ($)</v>
      </c>
      <c r="B878" s="148"/>
      <c r="C878" s="149"/>
      <c r="D878" t="b">
        <f t="shared" si="80"/>
        <v>0</v>
      </c>
    </row>
    <row r="879" spans="1:4" hidden="1" x14ac:dyDescent="0.45">
      <c r="A879" s="2" t="str">
        <f>Traduction!C210</f>
        <v>Date de fin du paiement du prêt (aaaa-mm-jj)</v>
      </c>
      <c r="B879" s="138"/>
      <c r="C879" s="139"/>
      <c r="D879" t="b">
        <f t="shared" si="80"/>
        <v>0</v>
      </c>
    </row>
    <row r="880" spans="1:4" hidden="1" x14ac:dyDescent="0.45">
      <c r="A880" s="2" t="str">
        <f>Traduction!C211</f>
        <v>Taux d'intérêt sur le prêt (%)</v>
      </c>
      <c r="B880" s="194"/>
      <c r="C880" s="195"/>
      <c r="D880" t="b">
        <f t="shared" si="80"/>
        <v>0</v>
      </c>
    </row>
    <row r="881" spans="1:4" hidden="1" x14ac:dyDescent="0.45">
      <c r="A881" s="2" t="str">
        <f>Traduction!C212</f>
        <v>Année de vente</v>
      </c>
      <c r="B881" s="138"/>
      <c r="C881" s="139"/>
      <c r="D881" t="b">
        <f t="shared" si="80"/>
        <v>0</v>
      </c>
    </row>
    <row r="882" spans="1:4" hidden="1" x14ac:dyDescent="0.45">
      <c r="A882" s="173" t="str">
        <f>Traduction!C198</f>
        <v>Actif 3</v>
      </c>
      <c r="B882" s="174"/>
      <c r="C882" s="175"/>
    </row>
    <row r="883" spans="1:4" hidden="1" x14ac:dyDescent="0.45">
      <c r="A883" s="2" t="str">
        <f>Traduction!C201</f>
        <v>Type (ex. résidence, chalet, actifs d'entreprise etc.)</v>
      </c>
      <c r="B883" s="138"/>
      <c r="C883" s="139"/>
      <c r="D883" t="b">
        <f t="shared" ref="D883:D894" si="81">IF(NbAutresActifs&gt;=3,IF(B883="",TRUE))</f>
        <v>0</v>
      </c>
    </row>
    <row r="884" spans="1:4" ht="28.5" hidden="1" x14ac:dyDescent="0.45">
      <c r="A884" s="68" t="str">
        <f>Traduction!C202</f>
        <v xml:space="preserve">Nom du ou des détenteur(s) (nom de la société ou du client, les informations doivent être inscrites dans les sections précédentes pour être inclus dans le menu déroulant) </v>
      </c>
      <c r="B884" s="138"/>
      <c r="C884" s="139"/>
      <c r="D884" t="b">
        <f t="shared" si="81"/>
        <v>0</v>
      </c>
    </row>
    <row r="885" spans="1:4" hidden="1" x14ac:dyDescent="0.45">
      <c r="A885" s="2" t="str">
        <f>Traduction!C203</f>
        <v>Pourcentage détenu par le client ou la société (%)</v>
      </c>
      <c r="B885" s="148"/>
      <c r="C885" s="149"/>
      <c r="D885" t="b">
        <f t="shared" si="81"/>
        <v>0</v>
      </c>
    </row>
    <row r="886" spans="1:4" hidden="1" x14ac:dyDescent="0.45">
      <c r="A886" s="2" t="str">
        <f>Traduction!C204</f>
        <v>Valeur marchande totale ($)</v>
      </c>
      <c r="B886" s="148"/>
      <c r="C886" s="149"/>
      <c r="D886" t="b">
        <f t="shared" si="81"/>
        <v>0</v>
      </c>
    </row>
    <row r="887" spans="1:4" hidden="1" x14ac:dyDescent="0.45">
      <c r="A887" s="2" t="str">
        <f>Traduction!C205</f>
        <v>Prix de base rajusté total ($)</v>
      </c>
      <c r="B887" s="148"/>
      <c r="C887" s="149"/>
      <c r="D887" t="b">
        <f t="shared" si="81"/>
        <v>0</v>
      </c>
    </row>
    <row r="888" spans="1:4" hidden="1" x14ac:dyDescent="0.45">
      <c r="A888" s="2" t="str">
        <f>Traduction!C206</f>
        <v>Revenus nets annuels s'il y a lieu ($)</v>
      </c>
      <c r="B888" s="148"/>
      <c r="C888" s="149"/>
      <c r="D888" t="b">
        <f t="shared" si="81"/>
        <v>0</v>
      </c>
    </row>
    <row r="889" spans="1:4" hidden="1" x14ac:dyDescent="0.45">
      <c r="A889" s="2" t="str">
        <f>Traduction!C207</f>
        <v>Fraction non amortie du coût en capital s'il y a lieu ($)</v>
      </c>
      <c r="B889" s="148"/>
      <c r="C889" s="149"/>
      <c r="D889" t="b">
        <f t="shared" si="81"/>
        <v>0</v>
      </c>
    </row>
    <row r="890" spans="1:4" hidden="1" x14ac:dyDescent="0.45">
      <c r="A890" s="2" t="str">
        <f>Traduction!C208</f>
        <v>Biens agricoles ou de pêches admissibles (BAPA)</v>
      </c>
      <c r="B890" s="138"/>
      <c r="C890" s="139"/>
      <c r="D890" t="b">
        <f t="shared" si="81"/>
        <v>0</v>
      </c>
    </row>
    <row r="891" spans="1:4" hidden="1" x14ac:dyDescent="0.45">
      <c r="A891" s="2" t="str">
        <f>Traduction!C209</f>
        <v>Solde du prêt ($)</v>
      </c>
      <c r="B891" s="148"/>
      <c r="C891" s="149"/>
      <c r="D891" t="b">
        <f t="shared" si="81"/>
        <v>0</v>
      </c>
    </row>
    <row r="892" spans="1:4" hidden="1" x14ac:dyDescent="0.45">
      <c r="A892" s="2" t="str">
        <f>Traduction!C210</f>
        <v>Date de fin du paiement du prêt (aaaa-mm-jj)</v>
      </c>
      <c r="B892" s="138"/>
      <c r="C892" s="139"/>
      <c r="D892" t="b">
        <f t="shared" si="81"/>
        <v>0</v>
      </c>
    </row>
    <row r="893" spans="1:4" hidden="1" x14ac:dyDescent="0.45">
      <c r="A893" s="2" t="str">
        <f>Traduction!C211</f>
        <v>Taux d'intérêt sur le prêt (%)</v>
      </c>
      <c r="B893" s="194"/>
      <c r="C893" s="195"/>
      <c r="D893" t="b">
        <f t="shared" si="81"/>
        <v>0</v>
      </c>
    </row>
    <row r="894" spans="1:4" hidden="1" x14ac:dyDescent="0.45">
      <c r="A894" s="2" t="str">
        <f>Traduction!C212</f>
        <v>Année de vente</v>
      </c>
      <c r="B894" s="138"/>
      <c r="C894" s="139"/>
      <c r="D894" t="b">
        <f t="shared" si="81"/>
        <v>0</v>
      </c>
    </row>
    <row r="895" spans="1:4" hidden="1" x14ac:dyDescent="0.45">
      <c r="A895" s="173" t="str">
        <f>Traduction!C199</f>
        <v>Actif 4</v>
      </c>
      <c r="B895" s="174"/>
      <c r="C895" s="175"/>
    </row>
    <row r="896" spans="1:4" hidden="1" x14ac:dyDescent="0.45">
      <c r="A896" s="2" t="str">
        <f>Traduction!C201</f>
        <v>Type (ex. résidence, chalet, actifs d'entreprise etc.)</v>
      </c>
      <c r="B896" s="138"/>
      <c r="C896" s="139"/>
      <c r="D896" t="b">
        <f t="shared" ref="D896:D907" si="82">IF(NbAutresActifs&gt;=4,IF(B896="",TRUE))</f>
        <v>0</v>
      </c>
    </row>
    <row r="897" spans="1:4" ht="28.5" hidden="1" x14ac:dyDescent="0.45">
      <c r="A897" s="68" t="str">
        <f>Traduction!C202</f>
        <v xml:space="preserve">Nom du ou des détenteur(s) (nom de la société ou du client, les informations doivent être inscrites dans les sections précédentes pour être inclus dans le menu déroulant) </v>
      </c>
      <c r="B897" s="138"/>
      <c r="C897" s="139"/>
      <c r="D897" t="b">
        <f t="shared" si="82"/>
        <v>0</v>
      </c>
    </row>
    <row r="898" spans="1:4" hidden="1" x14ac:dyDescent="0.45">
      <c r="A898" s="2" t="str">
        <f>Traduction!C203</f>
        <v>Pourcentage détenu par le client ou la société (%)</v>
      </c>
      <c r="B898" s="148"/>
      <c r="C898" s="149"/>
      <c r="D898" t="b">
        <f t="shared" si="82"/>
        <v>0</v>
      </c>
    </row>
    <row r="899" spans="1:4" hidden="1" x14ac:dyDescent="0.45">
      <c r="A899" s="2" t="str">
        <f>Traduction!C204</f>
        <v>Valeur marchande totale ($)</v>
      </c>
      <c r="B899" s="148"/>
      <c r="C899" s="149"/>
      <c r="D899" t="b">
        <f t="shared" si="82"/>
        <v>0</v>
      </c>
    </row>
    <row r="900" spans="1:4" hidden="1" x14ac:dyDescent="0.45">
      <c r="A900" s="2" t="str">
        <f>Traduction!C205</f>
        <v>Prix de base rajusté total ($)</v>
      </c>
      <c r="B900" s="148"/>
      <c r="C900" s="149"/>
      <c r="D900" t="b">
        <f t="shared" si="82"/>
        <v>0</v>
      </c>
    </row>
    <row r="901" spans="1:4" hidden="1" x14ac:dyDescent="0.45">
      <c r="A901" s="2" t="str">
        <f>Traduction!C206</f>
        <v>Revenus nets annuels s'il y a lieu ($)</v>
      </c>
      <c r="B901" s="148"/>
      <c r="C901" s="149"/>
      <c r="D901" t="b">
        <f t="shared" si="82"/>
        <v>0</v>
      </c>
    </row>
    <row r="902" spans="1:4" hidden="1" x14ac:dyDescent="0.45">
      <c r="A902" s="2" t="str">
        <f>Traduction!C207</f>
        <v>Fraction non amortie du coût en capital s'il y a lieu ($)</v>
      </c>
      <c r="B902" s="148"/>
      <c r="C902" s="149"/>
      <c r="D902" t="b">
        <f t="shared" si="82"/>
        <v>0</v>
      </c>
    </row>
    <row r="903" spans="1:4" hidden="1" x14ac:dyDescent="0.45">
      <c r="A903" s="2" t="str">
        <f>Traduction!C208</f>
        <v>Biens agricoles ou de pêches admissibles (BAPA)</v>
      </c>
      <c r="B903" s="138"/>
      <c r="C903" s="139"/>
      <c r="D903" t="b">
        <f t="shared" si="82"/>
        <v>0</v>
      </c>
    </row>
    <row r="904" spans="1:4" hidden="1" x14ac:dyDescent="0.45">
      <c r="A904" s="2" t="str">
        <f>Traduction!C209</f>
        <v>Solde du prêt ($)</v>
      </c>
      <c r="B904" s="148"/>
      <c r="C904" s="149"/>
      <c r="D904" t="b">
        <f t="shared" si="82"/>
        <v>0</v>
      </c>
    </row>
    <row r="905" spans="1:4" hidden="1" x14ac:dyDescent="0.45">
      <c r="A905" s="2" t="str">
        <f>Traduction!C210</f>
        <v>Date de fin du paiement du prêt (aaaa-mm-jj)</v>
      </c>
      <c r="B905" s="138"/>
      <c r="C905" s="139"/>
      <c r="D905" t="b">
        <f t="shared" si="82"/>
        <v>0</v>
      </c>
    </row>
    <row r="906" spans="1:4" hidden="1" x14ac:dyDescent="0.45">
      <c r="A906" s="2" t="str">
        <f>Traduction!C211</f>
        <v>Taux d'intérêt sur le prêt (%)</v>
      </c>
      <c r="B906" s="194"/>
      <c r="C906" s="195"/>
      <c r="D906" t="b">
        <f t="shared" si="82"/>
        <v>0</v>
      </c>
    </row>
    <row r="907" spans="1:4" hidden="1" x14ac:dyDescent="0.45">
      <c r="A907" s="2" t="str">
        <f>Traduction!C212</f>
        <v>Année de vente</v>
      </c>
      <c r="B907" s="138"/>
      <c r="C907" s="139"/>
      <c r="D907" t="b">
        <f t="shared" si="82"/>
        <v>0</v>
      </c>
    </row>
    <row r="908" spans="1:4" hidden="1" x14ac:dyDescent="0.45">
      <c r="A908" s="173" t="str">
        <f>Traduction!C200</f>
        <v>Actif 5</v>
      </c>
      <c r="B908" s="174"/>
      <c r="C908" s="175"/>
    </row>
    <row r="909" spans="1:4" hidden="1" x14ac:dyDescent="0.45">
      <c r="A909" s="2" t="str">
        <f>Traduction!C201</f>
        <v>Type (ex. résidence, chalet, actifs d'entreprise etc.)</v>
      </c>
      <c r="B909" s="138"/>
      <c r="C909" s="139"/>
      <c r="D909" t="b">
        <f t="shared" ref="D909:D920" si="83">IF(NbAutresActifs&gt;=5,IF(B909="",TRUE))</f>
        <v>0</v>
      </c>
    </row>
    <row r="910" spans="1:4" ht="28.5" hidden="1" x14ac:dyDescent="0.45">
      <c r="A910" s="68" t="str">
        <f>Traduction!C202</f>
        <v xml:space="preserve">Nom du ou des détenteur(s) (nom de la société ou du client, les informations doivent être inscrites dans les sections précédentes pour être inclus dans le menu déroulant) </v>
      </c>
      <c r="B910" s="138"/>
      <c r="C910" s="139"/>
      <c r="D910" t="b">
        <f t="shared" si="83"/>
        <v>0</v>
      </c>
    </row>
    <row r="911" spans="1:4" hidden="1" x14ac:dyDescent="0.45">
      <c r="A911" s="2" t="str">
        <f>Traduction!C203</f>
        <v>Pourcentage détenu par le client ou la société (%)</v>
      </c>
      <c r="B911" s="148"/>
      <c r="C911" s="149"/>
      <c r="D911" t="b">
        <f t="shared" si="83"/>
        <v>0</v>
      </c>
    </row>
    <row r="912" spans="1:4" hidden="1" x14ac:dyDescent="0.45">
      <c r="A912" s="2" t="str">
        <f>Traduction!C204</f>
        <v>Valeur marchande totale ($)</v>
      </c>
      <c r="B912" s="148"/>
      <c r="C912" s="149"/>
      <c r="D912" t="b">
        <f t="shared" si="83"/>
        <v>0</v>
      </c>
    </row>
    <row r="913" spans="1:4" hidden="1" x14ac:dyDescent="0.45">
      <c r="A913" s="2" t="str">
        <f>Traduction!C205</f>
        <v>Prix de base rajusté total ($)</v>
      </c>
      <c r="B913" s="148"/>
      <c r="C913" s="149"/>
      <c r="D913" t="b">
        <f t="shared" si="83"/>
        <v>0</v>
      </c>
    </row>
    <row r="914" spans="1:4" hidden="1" x14ac:dyDescent="0.45">
      <c r="A914" s="2" t="str">
        <f>Traduction!C206</f>
        <v>Revenus nets annuels s'il y a lieu ($)</v>
      </c>
      <c r="B914" s="148"/>
      <c r="C914" s="149"/>
      <c r="D914" t="b">
        <f t="shared" si="83"/>
        <v>0</v>
      </c>
    </row>
    <row r="915" spans="1:4" hidden="1" x14ac:dyDescent="0.45">
      <c r="A915" s="2" t="str">
        <f>Traduction!C207</f>
        <v>Fraction non amortie du coût en capital s'il y a lieu ($)</v>
      </c>
      <c r="B915" s="148"/>
      <c r="C915" s="149"/>
      <c r="D915" t="b">
        <f t="shared" si="83"/>
        <v>0</v>
      </c>
    </row>
    <row r="916" spans="1:4" hidden="1" x14ac:dyDescent="0.45">
      <c r="A916" s="2" t="str">
        <f>Traduction!C208</f>
        <v>Biens agricoles ou de pêches admissibles (BAPA)</v>
      </c>
      <c r="B916" s="138"/>
      <c r="C916" s="139"/>
      <c r="D916" t="b">
        <f t="shared" si="83"/>
        <v>0</v>
      </c>
    </row>
    <row r="917" spans="1:4" hidden="1" x14ac:dyDescent="0.45">
      <c r="A917" s="2" t="str">
        <f>Traduction!C209</f>
        <v>Solde du prêt ($)</v>
      </c>
      <c r="B917" s="148"/>
      <c r="C917" s="149"/>
      <c r="D917" t="b">
        <f t="shared" si="83"/>
        <v>0</v>
      </c>
    </row>
    <row r="918" spans="1:4" hidden="1" x14ac:dyDescent="0.45">
      <c r="A918" s="2" t="str">
        <f>Traduction!C210</f>
        <v>Date de fin du paiement du prêt (aaaa-mm-jj)</v>
      </c>
      <c r="B918" s="138"/>
      <c r="C918" s="139"/>
      <c r="D918" t="b">
        <f t="shared" si="83"/>
        <v>0</v>
      </c>
    </row>
    <row r="919" spans="1:4" hidden="1" x14ac:dyDescent="0.45">
      <c r="A919" s="2" t="str">
        <f>Traduction!C211</f>
        <v>Taux d'intérêt sur le prêt (%)</v>
      </c>
      <c r="B919" s="194"/>
      <c r="C919" s="195"/>
      <c r="D919" t="b">
        <f t="shared" si="83"/>
        <v>0</v>
      </c>
    </row>
    <row r="920" spans="1:4" hidden="1" x14ac:dyDescent="0.45">
      <c r="A920" s="2" t="str">
        <f>Traduction!C212</f>
        <v>Année de vente</v>
      </c>
      <c r="B920" s="138"/>
      <c r="C920" s="139"/>
      <c r="D920" t="b">
        <f t="shared" si="83"/>
        <v>0</v>
      </c>
    </row>
    <row r="921" spans="1:4" ht="15" customHeight="1" x14ac:dyDescent="0.45">
      <c r="A921" s="162" t="str">
        <f>Traduction!C213</f>
        <v>Vente d'une société opérante</v>
      </c>
      <c r="B921" s="162"/>
      <c r="C921" s="162"/>
    </row>
    <row r="922" spans="1:4" ht="14.65" customHeight="1" x14ac:dyDescent="0.45">
      <c r="A922" s="160"/>
      <c r="B922" s="160"/>
      <c r="C922" s="160"/>
    </row>
    <row r="923" spans="1:4" x14ac:dyDescent="0.45">
      <c r="A923" s="145" t="str">
        <f>Traduction!C214</f>
        <v xml:space="preserve">Société opérante vendue 1 </v>
      </c>
      <c r="B923" s="146"/>
      <c r="C923" s="147"/>
    </row>
    <row r="924" spans="1:4" ht="28.5" x14ac:dyDescent="0.45">
      <c r="A924" s="68" t="str">
        <f>Traduction!C224</f>
        <v xml:space="preserve">Nom de l'entreprise qui sera vendue (le nom doit être inscrit dans les sections en haut pour être inclus dans le menu déroulant) </v>
      </c>
      <c r="B924" s="138"/>
      <c r="C924" s="139"/>
      <c r="D924" s="8" t="b">
        <f t="shared" ref="D924:D933" si="84">IF(VenteCorpo&gt;=1,IF(B924="",TRUE))</f>
        <v>1</v>
      </c>
    </row>
    <row r="925" spans="1:4" x14ac:dyDescent="0.45">
      <c r="A925" s="2" t="str">
        <f>Traduction!C225</f>
        <v>Nom du client vendeur ou de la société vendeuse</v>
      </c>
      <c r="B925" s="138"/>
      <c r="C925" s="139"/>
      <c r="D925" s="8" t="b">
        <f t="shared" si="84"/>
        <v>1</v>
      </c>
    </row>
    <row r="926" spans="1:4" x14ac:dyDescent="0.45">
      <c r="A926" s="2" t="str">
        <f>Traduction!C226</f>
        <v>Vente vers une personne liée (parent ou enfant)</v>
      </c>
      <c r="B926" s="138"/>
      <c r="C926" s="139"/>
      <c r="D926" s="8" t="b">
        <f t="shared" si="84"/>
        <v>1</v>
      </c>
    </row>
    <row r="927" spans="1:4" x14ac:dyDescent="0.45">
      <c r="A927" s="2" t="str">
        <f>Traduction!C227</f>
        <v>Je joins un mémo fiscal détaillant la transaction de vente</v>
      </c>
      <c r="B927" s="138"/>
      <c r="C927" s="139"/>
      <c r="D927" s="8" t="b">
        <f t="shared" si="84"/>
        <v>1</v>
      </c>
    </row>
    <row r="928" spans="1:4" x14ac:dyDescent="0.45">
      <c r="A928" s="2" t="str">
        <f>Traduction!C228</f>
        <v>Valeur marchande actuelle des actions ($)</v>
      </c>
      <c r="B928" s="148" t="str">
        <f>IF(B927="Oui","Non requis","")</f>
        <v/>
      </c>
      <c r="C928" s="149"/>
      <c r="D928" s="8" t="b">
        <f t="shared" si="84"/>
        <v>1</v>
      </c>
    </row>
    <row r="929" spans="1:4" x14ac:dyDescent="0.45">
      <c r="A929" s="2" t="str">
        <f>Traduction!C229</f>
        <v>Prix de base rajusté des actions ($)</v>
      </c>
      <c r="B929" s="148" t="str">
        <f>IF(B927="Oui","Non requis","")</f>
        <v/>
      </c>
      <c r="C929" s="149"/>
      <c r="D929" s="8" t="b">
        <f t="shared" si="84"/>
        <v>1</v>
      </c>
    </row>
    <row r="930" spans="1:4" x14ac:dyDescent="0.45">
      <c r="A930" s="2" t="str">
        <f>Traduction!C212</f>
        <v>Année de vente</v>
      </c>
      <c r="B930" s="138" t="str">
        <f>IF(B927="Oui","Non requis","")</f>
        <v/>
      </c>
      <c r="C930" s="139"/>
      <c r="D930" s="8" t="b">
        <f t="shared" si="84"/>
        <v>1</v>
      </c>
    </row>
    <row r="931" spans="1:4" x14ac:dyDescent="0.45">
      <c r="A931" s="2" t="str">
        <f>Traduction!C230</f>
        <v>Entreprise agricole</v>
      </c>
      <c r="B931" s="138"/>
      <c r="C931" s="139"/>
      <c r="D931" s="8" t="b">
        <f t="shared" si="84"/>
        <v>1</v>
      </c>
    </row>
    <row r="932" spans="1:4" x14ac:dyDescent="0.45">
      <c r="A932" s="2" t="str">
        <f>Traduction!C231</f>
        <v>Actions admissibles à l'exonération pour gain en capital</v>
      </c>
      <c r="B932" s="138"/>
      <c r="C932" s="139"/>
      <c r="D932" s="8" t="b">
        <f t="shared" si="84"/>
        <v>1</v>
      </c>
    </row>
    <row r="933" spans="1:4" x14ac:dyDescent="0.45">
      <c r="A933" s="2" t="str">
        <f>Traduction!C232</f>
        <v xml:space="preserve">Montant restant disponible pour l'exonération pour gain en capital du client vendeur </v>
      </c>
      <c r="B933" s="140">
        <v>913630</v>
      </c>
      <c r="C933" s="141"/>
      <c r="D933" s="8" t="b">
        <f t="shared" si="84"/>
        <v>0</v>
      </c>
    </row>
    <row r="934" spans="1:4" hidden="1" x14ac:dyDescent="0.45">
      <c r="A934" s="145" t="str">
        <f>Traduction!C215</f>
        <v>Société opérante vendue 2</v>
      </c>
      <c r="B934" s="146"/>
      <c r="C934" s="147"/>
    </row>
    <row r="935" spans="1:4" ht="28.5" hidden="1" x14ac:dyDescent="0.45">
      <c r="A935" s="68" t="str">
        <f>Traduction!C224</f>
        <v xml:space="preserve">Nom de l'entreprise qui sera vendue (le nom doit être inscrit dans les sections en haut pour être inclus dans le menu déroulant) </v>
      </c>
      <c r="B935" s="138"/>
      <c r="C935" s="139"/>
      <c r="D935" s="8" t="b">
        <f t="shared" ref="D935:D944" si="85">IF(VenteCorpo&gt;=2,IF(B935="",TRUE))</f>
        <v>0</v>
      </c>
    </row>
    <row r="936" spans="1:4" hidden="1" x14ac:dyDescent="0.45">
      <c r="A936" s="2" t="str">
        <f>Traduction!C225</f>
        <v>Nom du client vendeur ou de la société vendeuse</v>
      </c>
      <c r="B936" s="138"/>
      <c r="C936" s="139"/>
      <c r="D936" s="8" t="b">
        <f t="shared" si="85"/>
        <v>0</v>
      </c>
    </row>
    <row r="937" spans="1:4" hidden="1" x14ac:dyDescent="0.45">
      <c r="A937" s="2" t="str">
        <f>Traduction!C226</f>
        <v>Vente vers une personne liée (parent ou enfant)</v>
      </c>
      <c r="B937" s="138"/>
      <c r="C937" s="139"/>
      <c r="D937" s="8" t="b">
        <f t="shared" si="85"/>
        <v>0</v>
      </c>
    </row>
    <row r="938" spans="1:4" hidden="1" x14ac:dyDescent="0.45">
      <c r="A938" s="2" t="str">
        <f>Traduction!C227</f>
        <v>Je joins un mémo fiscal détaillant la transaction de vente</v>
      </c>
      <c r="B938" s="138"/>
      <c r="C938" s="139"/>
      <c r="D938" s="8" t="b">
        <f t="shared" si="85"/>
        <v>0</v>
      </c>
    </row>
    <row r="939" spans="1:4" hidden="1" x14ac:dyDescent="0.45">
      <c r="A939" s="2" t="str">
        <f>Traduction!C228</f>
        <v>Valeur marchande actuelle des actions ($)</v>
      </c>
      <c r="B939" s="148" t="str">
        <f>IF(B938="Oui","Non requis","")</f>
        <v/>
      </c>
      <c r="C939" s="149"/>
      <c r="D939" s="8" t="b">
        <f t="shared" si="85"/>
        <v>0</v>
      </c>
    </row>
    <row r="940" spans="1:4" hidden="1" x14ac:dyDescent="0.45">
      <c r="A940" s="2" t="str">
        <f>Traduction!C229</f>
        <v>Prix de base rajusté des actions ($)</v>
      </c>
      <c r="B940" s="148" t="str">
        <f>IF(B938="Oui","Non requis","")</f>
        <v/>
      </c>
      <c r="C940" s="149"/>
      <c r="D940" s="8" t="b">
        <f t="shared" si="85"/>
        <v>0</v>
      </c>
    </row>
    <row r="941" spans="1:4" hidden="1" x14ac:dyDescent="0.45">
      <c r="A941" s="2" t="str">
        <f>Traduction!C212</f>
        <v>Année de vente</v>
      </c>
      <c r="B941" s="138" t="str">
        <f>IF(B938="Oui","Non requis","")</f>
        <v/>
      </c>
      <c r="C941" s="139"/>
      <c r="D941" s="8" t="b">
        <f t="shared" si="85"/>
        <v>0</v>
      </c>
    </row>
    <row r="942" spans="1:4" hidden="1" x14ac:dyDescent="0.45">
      <c r="A942" s="2" t="str">
        <f>Traduction!C230</f>
        <v>Entreprise agricole</v>
      </c>
      <c r="B942" s="138"/>
      <c r="C942" s="139"/>
      <c r="D942" s="8" t="b">
        <f t="shared" si="85"/>
        <v>0</v>
      </c>
    </row>
    <row r="943" spans="1:4" hidden="1" x14ac:dyDescent="0.45">
      <c r="A943" s="2" t="str">
        <f>Traduction!C231</f>
        <v>Actions admissibles à l'exonération pour gain en capital</v>
      </c>
      <c r="B943" s="138"/>
      <c r="C943" s="139"/>
      <c r="D943" s="8" t="b">
        <f t="shared" si="85"/>
        <v>0</v>
      </c>
    </row>
    <row r="944" spans="1:4" hidden="1" x14ac:dyDescent="0.45">
      <c r="A944" s="2" t="str">
        <f>Traduction!C232</f>
        <v xml:space="preserve">Montant restant disponible pour l'exonération pour gain en capital du client vendeur </v>
      </c>
      <c r="B944" s="140">
        <v>913630</v>
      </c>
      <c r="C944" s="141"/>
      <c r="D944" s="8" t="b">
        <f t="shared" si="85"/>
        <v>0</v>
      </c>
    </row>
    <row r="945" spans="1:4" hidden="1" x14ac:dyDescent="0.45">
      <c r="A945" s="145" t="str">
        <f>Traduction!C216</f>
        <v>Société opérante vendue 3</v>
      </c>
      <c r="B945" s="146"/>
      <c r="C945" s="147"/>
      <c r="D945" s="8"/>
    </row>
    <row r="946" spans="1:4" ht="28.5" hidden="1" x14ac:dyDescent="0.45">
      <c r="A946" s="115" t="str">
        <f>Traduction!C224</f>
        <v xml:space="preserve">Nom de l'entreprise qui sera vendue (le nom doit être inscrit dans les sections en haut pour être inclus dans le menu déroulant) </v>
      </c>
      <c r="B946" s="138"/>
      <c r="C946" s="139"/>
      <c r="D946" s="8"/>
    </row>
    <row r="947" spans="1:4" hidden="1" x14ac:dyDescent="0.45">
      <c r="A947" s="115" t="str">
        <f>Traduction!C225</f>
        <v>Nom du client vendeur ou de la société vendeuse</v>
      </c>
      <c r="B947" s="138"/>
      <c r="C947" s="139"/>
      <c r="D947" s="8"/>
    </row>
    <row r="948" spans="1:4" hidden="1" x14ac:dyDescent="0.45">
      <c r="A948" s="115" t="str">
        <f>Traduction!C226</f>
        <v>Vente vers une personne liée (parent ou enfant)</v>
      </c>
      <c r="B948" s="138"/>
      <c r="C948" s="139"/>
      <c r="D948" s="8"/>
    </row>
    <row r="949" spans="1:4" hidden="1" x14ac:dyDescent="0.45">
      <c r="A949" s="115" t="str">
        <f>Traduction!C227</f>
        <v>Je joins un mémo fiscal détaillant la transaction de vente</v>
      </c>
      <c r="B949" s="138"/>
      <c r="C949" s="139"/>
      <c r="D949" s="8"/>
    </row>
    <row r="950" spans="1:4" hidden="1" x14ac:dyDescent="0.45">
      <c r="A950" s="115" t="str">
        <f>Traduction!C228</f>
        <v>Valeur marchande actuelle des actions ($)</v>
      </c>
      <c r="B950" s="148" t="str">
        <f>IF(B949="Oui","Non requis","")</f>
        <v/>
      </c>
      <c r="C950" s="149"/>
      <c r="D950" s="8"/>
    </row>
    <row r="951" spans="1:4" hidden="1" x14ac:dyDescent="0.45">
      <c r="A951" s="115" t="str">
        <f>Traduction!C229</f>
        <v>Prix de base rajusté des actions ($)</v>
      </c>
      <c r="B951" s="148" t="str">
        <f>IF(B949="Oui","Non requis","")</f>
        <v/>
      </c>
      <c r="C951" s="149"/>
      <c r="D951" s="8"/>
    </row>
    <row r="952" spans="1:4" hidden="1" x14ac:dyDescent="0.45">
      <c r="A952" s="115" t="str">
        <f>Traduction!C212</f>
        <v>Année de vente</v>
      </c>
      <c r="B952" s="138" t="str">
        <f>IF(B949="Oui","Non requis","")</f>
        <v/>
      </c>
      <c r="C952" s="139"/>
      <c r="D952" s="8"/>
    </row>
    <row r="953" spans="1:4" hidden="1" x14ac:dyDescent="0.45">
      <c r="A953" s="114" t="str">
        <f>Traduction!C230</f>
        <v>Entreprise agricole</v>
      </c>
      <c r="B953" s="138"/>
      <c r="C953" s="139"/>
      <c r="D953" s="8"/>
    </row>
    <row r="954" spans="1:4" hidden="1" x14ac:dyDescent="0.45">
      <c r="A954" s="114" t="str">
        <f>Traduction!C231</f>
        <v>Actions admissibles à l'exonération pour gain en capital</v>
      </c>
      <c r="B954" s="138"/>
      <c r="C954" s="139"/>
      <c r="D954" s="8"/>
    </row>
    <row r="955" spans="1:4" hidden="1" x14ac:dyDescent="0.45">
      <c r="A955" s="114" t="str">
        <f>Traduction!C232</f>
        <v xml:space="preserve">Montant restant disponible pour l'exonération pour gain en capital du client vendeur </v>
      </c>
      <c r="B955" s="140">
        <v>913630</v>
      </c>
      <c r="C955" s="141"/>
      <c r="D955" s="8"/>
    </row>
    <row r="956" spans="1:4" hidden="1" x14ac:dyDescent="0.45">
      <c r="A956" s="145" t="str">
        <f>Traduction!C217</f>
        <v>Société opérante vendue 4</v>
      </c>
      <c r="B956" s="146"/>
      <c r="C956" s="147"/>
      <c r="D956" s="8"/>
    </row>
    <row r="957" spans="1:4" ht="28.5" hidden="1" x14ac:dyDescent="0.45">
      <c r="A957" s="115" t="str">
        <f>Traduction!C224</f>
        <v xml:space="preserve">Nom de l'entreprise qui sera vendue (le nom doit être inscrit dans les sections en haut pour être inclus dans le menu déroulant) </v>
      </c>
      <c r="B957" s="138"/>
      <c r="C957" s="139"/>
      <c r="D957" s="8"/>
    </row>
    <row r="958" spans="1:4" ht="18" hidden="1" customHeight="1" x14ac:dyDescent="0.45">
      <c r="A958" s="115" t="str">
        <f>Traduction!C225</f>
        <v>Nom du client vendeur ou de la société vendeuse</v>
      </c>
      <c r="B958" s="138"/>
      <c r="C958" s="139"/>
      <c r="D958" s="8"/>
    </row>
    <row r="959" spans="1:4" hidden="1" x14ac:dyDescent="0.45">
      <c r="A959" s="115" t="str">
        <f>Traduction!C226</f>
        <v>Vente vers une personne liée (parent ou enfant)</v>
      </c>
      <c r="B959" s="138"/>
      <c r="C959" s="139"/>
      <c r="D959" s="8"/>
    </row>
    <row r="960" spans="1:4" hidden="1" x14ac:dyDescent="0.45">
      <c r="A960" s="115" t="str">
        <f>Traduction!C227</f>
        <v>Je joins un mémo fiscal détaillant la transaction de vente</v>
      </c>
      <c r="B960" s="138"/>
      <c r="C960" s="139"/>
      <c r="D960" s="8"/>
    </row>
    <row r="961" spans="1:4" hidden="1" x14ac:dyDescent="0.45">
      <c r="A961" s="115" t="str">
        <f>Traduction!C228</f>
        <v>Valeur marchande actuelle des actions ($)</v>
      </c>
      <c r="B961" s="148" t="str">
        <f>IF(B960="Oui","Non requis","")</f>
        <v/>
      </c>
      <c r="C961" s="149"/>
      <c r="D961" s="8"/>
    </row>
    <row r="962" spans="1:4" hidden="1" x14ac:dyDescent="0.45">
      <c r="A962" s="115" t="str">
        <f>Traduction!C229</f>
        <v>Prix de base rajusté des actions ($)</v>
      </c>
      <c r="B962" s="148" t="str">
        <f>IF(B960="Oui","Non requis","")</f>
        <v/>
      </c>
      <c r="C962" s="149"/>
      <c r="D962" s="8"/>
    </row>
    <row r="963" spans="1:4" hidden="1" x14ac:dyDescent="0.45">
      <c r="A963" s="114" t="str">
        <f>Traduction!C212</f>
        <v>Année de vente</v>
      </c>
      <c r="B963" s="138" t="str">
        <f>IF(B960="Oui","Non requis","")</f>
        <v/>
      </c>
      <c r="C963" s="139"/>
      <c r="D963" s="8"/>
    </row>
    <row r="964" spans="1:4" hidden="1" x14ac:dyDescent="0.45">
      <c r="A964" s="114" t="str">
        <f>Traduction!C230</f>
        <v>Entreprise agricole</v>
      </c>
      <c r="B964" s="138"/>
      <c r="C964" s="139"/>
      <c r="D964" s="8"/>
    </row>
    <row r="965" spans="1:4" hidden="1" x14ac:dyDescent="0.45">
      <c r="A965" s="114" t="str">
        <f>Traduction!C231</f>
        <v>Actions admissibles à l'exonération pour gain en capital</v>
      </c>
      <c r="B965" s="138"/>
      <c r="C965" s="139"/>
      <c r="D965" s="8"/>
    </row>
    <row r="966" spans="1:4" hidden="1" x14ac:dyDescent="0.45">
      <c r="A966" s="114" t="str">
        <f>Traduction!C232</f>
        <v xml:space="preserve">Montant restant disponible pour l'exonération pour gain en capital du client vendeur </v>
      </c>
      <c r="B966" s="140">
        <v>913630</v>
      </c>
      <c r="C966" s="141"/>
      <c r="D966" s="8"/>
    </row>
    <row r="967" spans="1:4" hidden="1" x14ac:dyDescent="0.45">
      <c r="A967" s="145" t="str">
        <f>Traduction!C218</f>
        <v>Société opérante vendue 5</v>
      </c>
      <c r="B967" s="146"/>
      <c r="C967" s="147"/>
      <c r="D967" s="8"/>
    </row>
    <row r="968" spans="1:4" ht="28.5" hidden="1" x14ac:dyDescent="0.45">
      <c r="A968" s="115" t="str">
        <f>Traduction!C224</f>
        <v xml:space="preserve">Nom de l'entreprise qui sera vendue (le nom doit être inscrit dans les sections en haut pour être inclus dans le menu déroulant) </v>
      </c>
      <c r="B968" s="138"/>
      <c r="C968" s="139"/>
      <c r="D968" s="8"/>
    </row>
    <row r="969" spans="1:4" hidden="1" x14ac:dyDescent="0.45">
      <c r="A969" s="115" t="str">
        <f>Traduction!C225</f>
        <v>Nom du client vendeur ou de la société vendeuse</v>
      </c>
      <c r="B969" s="138"/>
      <c r="C969" s="139"/>
      <c r="D969" s="8"/>
    </row>
    <row r="970" spans="1:4" hidden="1" x14ac:dyDescent="0.45">
      <c r="A970" s="115" t="str">
        <f>Traduction!C226</f>
        <v>Vente vers une personne liée (parent ou enfant)</v>
      </c>
      <c r="B970" s="138"/>
      <c r="C970" s="139"/>
      <c r="D970" s="8"/>
    </row>
    <row r="971" spans="1:4" hidden="1" x14ac:dyDescent="0.45">
      <c r="A971" s="115" t="str">
        <f>Traduction!C227</f>
        <v>Je joins un mémo fiscal détaillant la transaction de vente</v>
      </c>
      <c r="B971" s="138"/>
      <c r="C971" s="139"/>
      <c r="D971" s="8"/>
    </row>
    <row r="972" spans="1:4" hidden="1" x14ac:dyDescent="0.45">
      <c r="A972" s="115" t="str">
        <f>Traduction!C228</f>
        <v>Valeur marchande actuelle des actions ($)</v>
      </c>
      <c r="B972" s="148" t="str">
        <f>IF(B971="Oui","Non requis","")</f>
        <v/>
      </c>
      <c r="C972" s="149"/>
      <c r="D972" s="8"/>
    </row>
    <row r="973" spans="1:4" hidden="1" x14ac:dyDescent="0.45">
      <c r="A973" s="115" t="str">
        <f>Traduction!C229</f>
        <v>Prix de base rajusté des actions ($)</v>
      </c>
      <c r="B973" s="148" t="str">
        <f>IF(B971="Oui","Non requis","")</f>
        <v/>
      </c>
      <c r="C973" s="149"/>
      <c r="D973" s="8"/>
    </row>
    <row r="974" spans="1:4" hidden="1" x14ac:dyDescent="0.45">
      <c r="A974" s="114" t="str">
        <f>Traduction!C212</f>
        <v>Année de vente</v>
      </c>
      <c r="B974" s="138" t="str">
        <f>IF(B971="Oui","Non requis","")</f>
        <v/>
      </c>
      <c r="C974" s="139"/>
      <c r="D974" s="8"/>
    </row>
    <row r="975" spans="1:4" hidden="1" x14ac:dyDescent="0.45">
      <c r="A975" s="114" t="str">
        <f>Traduction!C230</f>
        <v>Entreprise agricole</v>
      </c>
      <c r="B975" s="138"/>
      <c r="C975" s="139"/>
      <c r="D975" s="8"/>
    </row>
    <row r="976" spans="1:4" hidden="1" x14ac:dyDescent="0.45">
      <c r="A976" s="114" t="str">
        <f>Traduction!C231</f>
        <v>Actions admissibles à l'exonération pour gain en capital</v>
      </c>
      <c r="B976" s="138"/>
      <c r="C976" s="139"/>
      <c r="D976" s="8"/>
    </row>
    <row r="977" spans="1:4" hidden="1" x14ac:dyDescent="0.45">
      <c r="A977" s="114" t="str">
        <f>Traduction!C232</f>
        <v xml:space="preserve">Montant restant disponible pour l'exonération pour gain en capital du client vendeur </v>
      </c>
      <c r="B977" s="140">
        <v>913630</v>
      </c>
      <c r="C977" s="141"/>
      <c r="D977" s="8"/>
    </row>
    <row r="978" spans="1:4" hidden="1" x14ac:dyDescent="0.45">
      <c r="A978" s="145" t="str">
        <f>Traduction!C219</f>
        <v>Société opérante vendue 6</v>
      </c>
      <c r="B978" s="146"/>
      <c r="C978" s="147"/>
      <c r="D978" s="8"/>
    </row>
    <row r="979" spans="1:4" ht="28.5" hidden="1" x14ac:dyDescent="0.45">
      <c r="A979" s="115" t="str">
        <f>Traduction!C224</f>
        <v xml:space="preserve">Nom de l'entreprise qui sera vendue (le nom doit être inscrit dans les sections en haut pour être inclus dans le menu déroulant) </v>
      </c>
      <c r="B979" s="138"/>
      <c r="C979" s="139"/>
      <c r="D979" s="8"/>
    </row>
    <row r="980" spans="1:4" hidden="1" x14ac:dyDescent="0.45">
      <c r="A980" s="114" t="str">
        <f>Traduction!C225</f>
        <v>Nom du client vendeur ou de la société vendeuse</v>
      </c>
      <c r="B980" s="138"/>
      <c r="C980" s="139"/>
      <c r="D980" s="8"/>
    </row>
    <row r="981" spans="1:4" hidden="1" x14ac:dyDescent="0.45">
      <c r="A981" s="114" t="str">
        <f>Traduction!C226</f>
        <v>Vente vers une personne liée (parent ou enfant)</v>
      </c>
      <c r="B981" s="138"/>
      <c r="C981" s="139"/>
      <c r="D981" s="8"/>
    </row>
    <row r="982" spans="1:4" hidden="1" x14ac:dyDescent="0.45">
      <c r="A982" s="114" t="str">
        <f>Traduction!C227</f>
        <v>Je joins un mémo fiscal détaillant la transaction de vente</v>
      </c>
      <c r="B982" s="138"/>
      <c r="C982" s="139"/>
      <c r="D982" s="8"/>
    </row>
    <row r="983" spans="1:4" hidden="1" x14ac:dyDescent="0.45">
      <c r="A983" s="114" t="str">
        <f>Traduction!C228</f>
        <v>Valeur marchande actuelle des actions ($)</v>
      </c>
      <c r="B983" s="148" t="str">
        <f>IF(B982="Oui","Non requis","")</f>
        <v/>
      </c>
      <c r="C983" s="149"/>
      <c r="D983" s="8"/>
    </row>
    <row r="984" spans="1:4" hidden="1" x14ac:dyDescent="0.45">
      <c r="A984" s="114" t="str">
        <f>Traduction!C229</f>
        <v>Prix de base rajusté des actions ($)</v>
      </c>
      <c r="B984" s="148" t="str">
        <f>IF(B982="Oui","Non requis","")</f>
        <v/>
      </c>
      <c r="C984" s="149"/>
      <c r="D984" s="8"/>
    </row>
    <row r="985" spans="1:4" hidden="1" x14ac:dyDescent="0.45">
      <c r="A985" s="114" t="str">
        <f>Traduction!C212</f>
        <v>Année de vente</v>
      </c>
      <c r="B985" s="138" t="str">
        <f>IF(B982="Oui","Non requis","")</f>
        <v/>
      </c>
      <c r="C985" s="139"/>
      <c r="D985" s="8"/>
    </row>
    <row r="986" spans="1:4" hidden="1" x14ac:dyDescent="0.45">
      <c r="A986" s="114" t="str">
        <f>Traduction!C230</f>
        <v>Entreprise agricole</v>
      </c>
      <c r="B986" s="138"/>
      <c r="C986" s="139"/>
      <c r="D986" s="8"/>
    </row>
    <row r="987" spans="1:4" hidden="1" x14ac:dyDescent="0.45">
      <c r="A987" s="114" t="str">
        <f>Traduction!C231</f>
        <v>Actions admissibles à l'exonération pour gain en capital</v>
      </c>
      <c r="B987" s="138"/>
      <c r="C987" s="139"/>
      <c r="D987" s="8"/>
    </row>
    <row r="988" spans="1:4" hidden="1" x14ac:dyDescent="0.45">
      <c r="A988" s="114" t="str">
        <f>Traduction!C232</f>
        <v xml:space="preserve">Montant restant disponible pour l'exonération pour gain en capital du client vendeur </v>
      </c>
      <c r="B988" s="140">
        <v>913630</v>
      </c>
      <c r="C988" s="141"/>
      <c r="D988" s="8"/>
    </row>
    <row r="989" spans="1:4" hidden="1" x14ac:dyDescent="0.45">
      <c r="A989" s="145" t="str">
        <f>Traduction!C220</f>
        <v>Société opérante vendue 7</v>
      </c>
      <c r="B989" s="146"/>
      <c r="C989" s="147"/>
      <c r="D989" s="8"/>
    </row>
    <row r="990" spans="1:4" ht="28.5" hidden="1" x14ac:dyDescent="0.45">
      <c r="A990" s="115" t="str">
        <f>Traduction!C224</f>
        <v xml:space="preserve">Nom de l'entreprise qui sera vendue (le nom doit être inscrit dans les sections en haut pour être inclus dans le menu déroulant) </v>
      </c>
      <c r="B990" s="138"/>
      <c r="C990" s="139"/>
      <c r="D990" s="8"/>
    </row>
    <row r="991" spans="1:4" hidden="1" x14ac:dyDescent="0.45">
      <c r="A991" s="114" t="str">
        <f>Traduction!C225</f>
        <v>Nom du client vendeur ou de la société vendeuse</v>
      </c>
      <c r="B991" s="138"/>
      <c r="C991" s="139"/>
      <c r="D991" s="8"/>
    </row>
    <row r="992" spans="1:4" hidden="1" x14ac:dyDescent="0.45">
      <c r="A992" s="114" t="str">
        <f>Traduction!C226</f>
        <v>Vente vers une personne liée (parent ou enfant)</v>
      </c>
      <c r="B992" s="138"/>
      <c r="C992" s="139"/>
      <c r="D992" s="8"/>
    </row>
    <row r="993" spans="1:4" hidden="1" x14ac:dyDescent="0.45">
      <c r="A993" s="114" t="str">
        <f>Traduction!C227</f>
        <v>Je joins un mémo fiscal détaillant la transaction de vente</v>
      </c>
      <c r="B993" s="138"/>
      <c r="C993" s="139"/>
      <c r="D993" s="8"/>
    </row>
    <row r="994" spans="1:4" hidden="1" x14ac:dyDescent="0.45">
      <c r="A994" s="114" t="str">
        <f>Traduction!C228</f>
        <v>Valeur marchande actuelle des actions ($)</v>
      </c>
      <c r="B994" s="148" t="str">
        <f>IF(B993="Oui","Non requis","")</f>
        <v/>
      </c>
      <c r="C994" s="149"/>
      <c r="D994" s="8"/>
    </row>
    <row r="995" spans="1:4" hidden="1" x14ac:dyDescent="0.45">
      <c r="A995" s="114" t="str">
        <f>Traduction!C229</f>
        <v>Prix de base rajusté des actions ($)</v>
      </c>
      <c r="B995" s="148" t="str">
        <f>IF(B993="Oui","Non requis","")</f>
        <v/>
      </c>
      <c r="C995" s="149"/>
      <c r="D995" s="8"/>
    </row>
    <row r="996" spans="1:4" hidden="1" x14ac:dyDescent="0.45">
      <c r="A996" s="114" t="str">
        <f>Traduction!C212</f>
        <v>Année de vente</v>
      </c>
      <c r="B996" s="138" t="str">
        <f>IF(B993="Oui","Non requis","")</f>
        <v/>
      </c>
      <c r="C996" s="139"/>
      <c r="D996" s="8"/>
    </row>
    <row r="997" spans="1:4" hidden="1" x14ac:dyDescent="0.45">
      <c r="A997" s="114" t="str">
        <f>Traduction!C230</f>
        <v>Entreprise agricole</v>
      </c>
      <c r="B997" s="138"/>
      <c r="C997" s="139"/>
      <c r="D997" s="8"/>
    </row>
    <row r="998" spans="1:4" hidden="1" x14ac:dyDescent="0.45">
      <c r="A998" s="114" t="str">
        <f>Traduction!C231</f>
        <v>Actions admissibles à l'exonération pour gain en capital</v>
      </c>
      <c r="B998" s="138"/>
      <c r="C998" s="139"/>
      <c r="D998" s="8"/>
    </row>
    <row r="999" spans="1:4" hidden="1" x14ac:dyDescent="0.45">
      <c r="A999" s="114" t="str">
        <f>Traduction!C232</f>
        <v xml:space="preserve">Montant restant disponible pour l'exonération pour gain en capital du client vendeur </v>
      </c>
      <c r="B999" s="140">
        <v>913630</v>
      </c>
      <c r="C999" s="141"/>
      <c r="D999" s="8"/>
    </row>
    <row r="1000" spans="1:4" hidden="1" x14ac:dyDescent="0.45">
      <c r="A1000" s="145" t="str">
        <f>Traduction!C221</f>
        <v>Société opérante vendue 8</v>
      </c>
      <c r="B1000" s="146"/>
      <c r="C1000" s="147"/>
      <c r="D1000" s="8"/>
    </row>
    <row r="1001" spans="1:4" ht="28.5" hidden="1" x14ac:dyDescent="0.45">
      <c r="A1001" s="115" t="str">
        <f>Traduction!C224</f>
        <v xml:space="preserve">Nom de l'entreprise qui sera vendue (le nom doit être inscrit dans les sections en haut pour être inclus dans le menu déroulant) </v>
      </c>
      <c r="B1001" s="138"/>
      <c r="C1001" s="139"/>
      <c r="D1001" s="8"/>
    </row>
    <row r="1002" spans="1:4" hidden="1" x14ac:dyDescent="0.45">
      <c r="A1002" s="114" t="str">
        <f>Traduction!C225</f>
        <v>Nom du client vendeur ou de la société vendeuse</v>
      </c>
      <c r="B1002" s="138"/>
      <c r="C1002" s="139"/>
      <c r="D1002" s="8"/>
    </row>
    <row r="1003" spans="1:4" hidden="1" x14ac:dyDescent="0.45">
      <c r="A1003" s="114" t="str">
        <f>Traduction!C226</f>
        <v>Vente vers une personne liée (parent ou enfant)</v>
      </c>
      <c r="B1003" s="138"/>
      <c r="C1003" s="139"/>
      <c r="D1003" s="8"/>
    </row>
    <row r="1004" spans="1:4" hidden="1" x14ac:dyDescent="0.45">
      <c r="A1004" s="114" t="str">
        <f>Traduction!C227</f>
        <v>Je joins un mémo fiscal détaillant la transaction de vente</v>
      </c>
      <c r="B1004" s="138"/>
      <c r="C1004" s="139"/>
      <c r="D1004" s="8"/>
    </row>
    <row r="1005" spans="1:4" hidden="1" x14ac:dyDescent="0.45">
      <c r="A1005" s="114" t="str">
        <f>Traduction!C228</f>
        <v>Valeur marchande actuelle des actions ($)</v>
      </c>
      <c r="B1005" s="148" t="str">
        <f>IF(B1004="Oui","Non requis","")</f>
        <v/>
      </c>
      <c r="C1005" s="149"/>
      <c r="D1005" s="8"/>
    </row>
    <row r="1006" spans="1:4" hidden="1" x14ac:dyDescent="0.45">
      <c r="A1006" s="114" t="str">
        <f>Traduction!C229</f>
        <v>Prix de base rajusté des actions ($)</v>
      </c>
      <c r="B1006" s="148" t="str">
        <f>IF(B1004="Oui","Non requis","")</f>
        <v/>
      </c>
      <c r="C1006" s="149"/>
      <c r="D1006" s="8"/>
    </row>
    <row r="1007" spans="1:4" hidden="1" x14ac:dyDescent="0.45">
      <c r="A1007" s="114" t="str">
        <f>Traduction!C212</f>
        <v>Année de vente</v>
      </c>
      <c r="B1007" s="138" t="str">
        <f>IF(B1004="Oui","Non requis","")</f>
        <v/>
      </c>
      <c r="C1007" s="139"/>
      <c r="D1007" s="8"/>
    </row>
    <row r="1008" spans="1:4" hidden="1" x14ac:dyDescent="0.45">
      <c r="A1008" s="114" t="str">
        <f>Traduction!C230</f>
        <v>Entreprise agricole</v>
      </c>
      <c r="B1008" s="138"/>
      <c r="C1008" s="139"/>
      <c r="D1008" s="8"/>
    </row>
    <row r="1009" spans="1:4" hidden="1" x14ac:dyDescent="0.45">
      <c r="A1009" s="114" t="str">
        <f>Traduction!C231</f>
        <v>Actions admissibles à l'exonération pour gain en capital</v>
      </c>
      <c r="B1009" s="138"/>
      <c r="C1009" s="139"/>
      <c r="D1009" s="8"/>
    </row>
    <row r="1010" spans="1:4" hidden="1" x14ac:dyDescent="0.45">
      <c r="A1010" s="114" t="str">
        <f>Traduction!C232</f>
        <v xml:space="preserve">Montant restant disponible pour l'exonération pour gain en capital du client vendeur </v>
      </c>
      <c r="B1010" s="140">
        <v>913630</v>
      </c>
      <c r="C1010" s="141"/>
      <c r="D1010" s="8"/>
    </row>
    <row r="1011" spans="1:4" hidden="1" x14ac:dyDescent="0.45">
      <c r="A1011" s="145" t="str">
        <f>Traduction!C222</f>
        <v>Société opérante vendue 9</v>
      </c>
      <c r="B1011" s="146"/>
      <c r="C1011" s="147"/>
      <c r="D1011" s="8"/>
    </row>
    <row r="1012" spans="1:4" ht="28.5" hidden="1" x14ac:dyDescent="0.45">
      <c r="A1012" s="115" t="str">
        <f>Traduction!C224</f>
        <v xml:space="preserve">Nom de l'entreprise qui sera vendue (le nom doit être inscrit dans les sections en haut pour être inclus dans le menu déroulant) </v>
      </c>
      <c r="B1012" s="138"/>
      <c r="C1012" s="139"/>
      <c r="D1012" s="8"/>
    </row>
    <row r="1013" spans="1:4" hidden="1" x14ac:dyDescent="0.45">
      <c r="A1013" s="114" t="str">
        <f>Traduction!C225</f>
        <v>Nom du client vendeur ou de la société vendeuse</v>
      </c>
      <c r="B1013" s="138"/>
      <c r="C1013" s="139"/>
      <c r="D1013" s="8"/>
    </row>
    <row r="1014" spans="1:4" hidden="1" x14ac:dyDescent="0.45">
      <c r="A1014" s="114" t="str">
        <f>Traduction!C226</f>
        <v>Vente vers une personne liée (parent ou enfant)</v>
      </c>
      <c r="B1014" s="138"/>
      <c r="C1014" s="139"/>
      <c r="D1014" s="8"/>
    </row>
    <row r="1015" spans="1:4" hidden="1" x14ac:dyDescent="0.45">
      <c r="A1015" s="114" t="str">
        <f>Traduction!C227</f>
        <v>Je joins un mémo fiscal détaillant la transaction de vente</v>
      </c>
      <c r="B1015" s="138"/>
      <c r="C1015" s="139"/>
      <c r="D1015" s="8"/>
    </row>
    <row r="1016" spans="1:4" hidden="1" x14ac:dyDescent="0.45">
      <c r="A1016" s="114" t="str">
        <f>Traduction!C228</f>
        <v>Valeur marchande actuelle des actions ($)</v>
      </c>
      <c r="B1016" s="148" t="str">
        <f>IF(B1015="Oui","Non requis","")</f>
        <v/>
      </c>
      <c r="C1016" s="149"/>
      <c r="D1016" s="8"/>
    </row>
    <row r="1017" spans="1:4" hidden="1" x14ac:dyDescent="0.45">
      <c r="A1017" s="114" t="str">
        <f>Traduction!C229</f>
        <v>Prix de base rajusté des actions ($)</v>
      </c>
      <c r="B1017" s="148" t="str">
        <f>IF(B1015="Oui","Non requis","")</f>
        <v/>
      </c>
      <c r="C1017" s="149"/>
      <c r="D1017" s="8"/>
    </row>
    <row r="1018" spans="1:4" hidden="1" x14ac:dyDescent="0.45">
      <c r="A1018" s="114" t="str">
        <f>Traduction!C212</f>
        <v>Année de vente</v>
      </c>
      <c r="B1018" s="138" t="str">
        <f>IF(B1015="Oui","Non requis","")</f>
        <v/>
      </c>
      <c r="C1018" s="139"/>
      <c r="D1018" s="8"/>
    </row>
    <row r="1019" spans="1:4" hidden="1" x14ac:dyDescent="0.45">
      <c r="A1019" s="114" t="str">
        <f>Traduction!C230</f>
        <v>Entreprise agricole</v>
      </c>
      <c r="B1019" s="138"/>
      <c r="C1019" s="139"/>
      <c r="D1019" s="8"/>
    </row>
    <row r="1020" spans="1:4" hidden="1" x14ac:dyDescent="0.45">
      <c r="A1020" s="114" t="str">
        <f>Traduction!C231</f>
        <v>Actions admissibles à l'exonération pour gain en capital</v>
      </c>
      <c r="B1020" s="138"/>
      <c r="C1020" s="139"/>
      <c r="D1020" s="8"/>
    </row>
    <row r="1021" spans="1:4" hidden="1" x14ac:dyDescent="0.45">
      <c r="A1021" s="114" t="str">
        <f>Traduction!C232</f>
        <v xml:space="preserve">Montant restant disponible pour l'exonération pour gain en capital du client vendeur </v>
      </c>
      <c r="B1021" s="140">
        <v>913630</v>
      </c>
      <c r="C1021" s="141"/>
      <c r="D1021" s="8"/>
    </row>
    <row r="1022" spans="1:4" hidden="1" x14ac:dyDescent="0.45">
      <c r="A1022" s="145" t="str">
        <f>Traduction!C223</f>
        <v>Société opérante vendue 10</v>
      </c>
      <c r="B1022" s="146"/>
      <c r="C1022" s="147"/>
      <c r="D1022" s="8"/>
    </row>
    <row r="1023" spans="1:4" ht="28.5" hidden="1" x14ac:dyDescent="0.45">
      <c r="A1023" s="115" t="str">
        <f>Traduction!C224</f>
        <v xml:space="preserve">Nom de l'entreprise qui sera vendue (le nom doit être inscrit dans les sections en haut pour être inclus dans le menu déroulant) </v>
      </c>
      <c r="B1023" s="138"/>
      <c r="C1023" s="139"/>
      <c r="D1023" s="8"/>
    </row>
    <row r="1024" spans="1:4" hidden="1" x14ac:dyDescent="0.45">
      <c r="A1024" s="114" t="str">
        <f>Traduction!C225</f>
        <v>Nom du client vendeur ou de la société vendeuse</v>
      </c>
      <c r="B1024" s="138"/>
      <c r="C1024" s="139"/>
      <c r="D1024" s="8"/>
    </row>
    <row r="1025" spans="1:4" hidden="1" x14ac:dyDescent="0.45">
      <c r="A1025" s="114" t="str">
        <f>Traduction!C226</f>
        <v>Vente vers une personne liée (parent ou enfant)</v>
      </c>
      <c r="B1025" s="138"/>
      <c r="C1025" s="139"/>
      <c r="D1025" s="8"/>
    </row>
    <row r="1026" spans="1:4" hidden="1" x14ac:dyDescent="0.45">
      <c r="A1026" s="114" t="str">
        <f>Traduction!C227</f>
        <v>Je joins un mémo fiscal détaillant la transaction de vente</v>
      </c>
      <c r="B1026" s="138"/>
      <c r="C1026" s="139"/>
      <c r="D1026" s="8"/>
    </row>
    <row r="1027" spans="1:4" hidden="1" x14ac:dyDescent="0.45">
      <c r="A1027" s="114" t="str">
        <f>Traduction!C228</f>
        <v>Valeur marchande actuelle des actions ($)</v>
      </c>
      <c r="B1027" s="148" t="str">
        <f>IF(B1026="Oui","Non requis","")</f>
        <v/>
      </c>
      <c r="C1027" s="149"/>
      <c r="D1027" s="8"/>
    </row>
    <row r="1028" spans="1:4" hidden="1" x14ac:dyDescent="0.45">
      <c r="A1028" s="114" t="str">
        <f>Traduction!C229</f>
        <v>Prix de base rajusté des actions ($)</v>
      </c>
      <c r="B1028" s="148" t="str">
        <f>IF(B1026="Oui","Non requis","")</f>
        <v/>
      </c>
      <c r="C1028" s="149"/>
      <c r="D1028" s="8"/>
    </row>
    <row r="1029" spans="1:4" hidden="1" x14ac:dyDescent="0.45">
      <c r="A1029" s="114" t="str">
        <f>Traduction!C212</f>
        <v>Année de vente</v>
      </c>
      <c r="B1029" s="138" t="str">
        <f>IF(B1026="Oui","Non requis","")</f>
        <v/>
      </c>
      <c r="C1029" s="139"/>
      <c r="D1029" s="8"/>
    </row>
    <row r="1030" spans="1:4" hidden="1" x14ac:dyDescent="0.45">
      <c r="A1030" s="114" t="str">
        <f>Traduction!C230</f>
        <v>Entreprise agricole</v>
      </c>
      <c r="B1030" s="138"/>
      <c r="C1030" s="139"/>
      <c r="D1030" s="8"/>
    </row>
    <row r="1031" spans="1:4" hidden="1" x14ac:dyDescent="0.45">
      <c r="A1031" s="114" t="str">
        <f>Traduction!C231</f>
        <v>Actions admissibles à l'exonération pour gain en capital</v>
      </c>
      <c r="B1031" s="138"/>
      <c r="C1031" s="139"/>
      <c r="D1031" s="8"/>
    </row>
    <row r="1032" spans="1:4" hidden="1" x14ac:dyDescent="0.45">
      <c r="A1032" s="114" t="str">
        <f>Traduction!C232</f>
        <v xml:space="preserve">Montant restant disponible pour l'exonération pour gain en capital du client vendeur </v>
      </c>
      <c r="B1032" s="140">
        <v>913630</v>
      </c>
      <c r="C1032" s="141"/>
      <c r="D1032" s="8"/>
    </row>
    <row r="1033" spans="1:4" ht="14.65" hidden="1" customHeight="1" x14ac:dyDescent="0.45">
      <c r="A1033" s="159" t="str">
        <f>Traduction!C233</f>
        <v>Dépense(s) extraordinaire(s)</v>
      </c>
      <c r="B1033" s="159"/>
      <c r="C1033" s="159"/>
    </row>
    <row r="1034" spans="1:4" ht="14.65" hidden="1" customHeight="1" x14ac:dyDescent="0.45">
      <c r="A1034" s="160"/>
      <c r="B1034" s="160"/>
      <c r="C1034" s="160"/>
    </row>
    <row r="1035" spans="1:4" ht="14.65" hidden="1" thickBot="1" x14ac:dyDescent="0.5">
      <c r="A1035" s="191" t="str">
        <f>Traduction!C234</f>
        <v>Dépense extraordinaire 1</v>
      </c>
      <c r="B1035" s="192"/>
      <c r="C1035" s="193"/>
    </row>
    <row r="1036" spans="1:4" ht="15" hidden="1" thickTop="1" thickBot="1" x14ac:dyDescent="0.5">
      <c r="A1036" s="2" t="str">
        <f>Traduction!C239</f>
        <v>Nature de la dépense (ex.: rénovations de la résidence principale)</v>
      </c>
      <c r="B1036" s="95"/>
      <c r="C1036" s="95"/>
      <c r="D1036" t="b">
        <f>IF((AND((B1036=""),(C1036=""),NbDépensesExtra&gt;=1)),TRUE)</f>
        <v>0</v>
      </c>
    </row>
    <row r="1037" spans="1:4" ht="15" hidden="1" thickTop="1" thickBot="1" x14ac:dyDescent="0.5">
      <c r="A1037" s="2" t="str">
        <f>Traduction!C240</f>
        <v>Montant de la dépense ($)</v>
      </c>
      <c r="B1037" s="94"/>
      <c r="C1037" s="94"/>
      <c r="D1037" t="b">
        <f>IF((AND((B1037=""),(C1037=""),NbDépensesExtra&gt;=1)),TRUE)</f>
        <v>0</v>
      </c>
    </row>
    <row r="1038" spans="1:4" ht="15" hidden="1" thickTop="1" thickBot="1" x14ac:dyDescent="0.5">
      <c r="A1038" s="2" t="str">
        <f>Traduction!C241</f>
        <v>Année de début</v>
      </c>
      <c r="B1038" s="95"/>
      <c r="C1038" s="95"/>
      <c r="D1038" t="b">
        <f>IF((AND((B1038=""),(C1038=""),NbDépensesExtra&gt;=1)),TRUE)</f>
        <v>0</v>
      </c>
    </row>
    <row r="1039" spans="1:4" ht="15" hidden="1" thickTop="1" thickBot="1" x14ac:dyDescent="0.5">
      <c r="A1039" s="2" t="str">
        <f>Traduction!C242</f>
        <v>Année de fin</v>
      </c>
      <c r="B1039" s="95"/>
      <c r="C1039" s="95"/>
      <c r="D1039" t="b">
        <f>IF((AND((B1039=""),(C1039=""),NbDépensesExtra&gt;=1)),TRUE)</f>
        <v>0</v>
      </c>
    </row>
    <row r="1040" spans="1:4" ht="15" hidden="1" thickTop="1" thickBot="1" x14ac:dyDescent="0.5">
      <c r="A1040" s="2" t="s">
        <v>18</v>
      </c>
      <c r="B1040" s="96"/>
      <c r="C1040" s="96"/>
      <c r="D1040" t="b">
        <f>IF((AND((B1040=""),(C1040=""),NbDépensesExtra&gt;=1)),TRUE)</f>
        <v>0</v>
      </c>
    </row>
    <row r="1041" spans="1:4" ht="14.65" hidden="1" thickBot="1" x14ac:dyDescent="0.5">
      <c r="A1041" s="173" t="str">
        <f>Traduction!C235</f>
        <v>Dépense extraordinaire 2</v>
      </c>
      <c r="B1041" s="174"/>
      <c r="C1041" s="175"/>
    </row>
    <row r="1042" spans="1:4" ht="15" hidden="1" thickTop="1" thickBot="1" x14ac:dyDescent="0.5">
      <c r="A1042" s="6" t="str">
        <f>Traduction!C239</f>
        <v>Nature de la dépense (ex.: rénovations de la résidence principale)</v>
      </c>
      <c r="B1042" s="95"/>
      <c r="C1042" s="95"/>
      <c r="D1042" t="b">
        <f>IF((AND((B1042=""),(C1042=""),NbDépensesExtra&gt;=2)),TRUE)</f>
        <v>0</v>
      </c>
    </row>
    <row r="1043" spans="1:4" ht="15" hidden="1" thickTop="1" thickBot="1" x14ac:dyDescent="0.5">
      <c r="A1043" s="6" t="str">
        <f>Traduction!C240</f>
        <v>Montant de la dépense ($)</v>
      </c>
      <c r="B1043" s="94"/>
      <c r="C1043" s="94"/>
      <c r="D1043" t="b">
        <f>IF((AND((B1043=""),(C1043=""),NbDépensesExtra&gt;=2)),TRUE)</f>
        <v>0</v>
      </c>
    </row>
    <row r="1044" spans="1:4" ht="15" hidden="1" thickTop="1" thickBot="1" x14ac:dyDescent="0.5">
      <c r="A1044" s="6" t="str">
        <f>Traduction!C241</f>
        <v>Année de début</v>
      </c>
      <c r="B1044" s="95"/>
      <c r="C1044" s="95"/>
      <c r="D1044" t="b">
        <f>IF((AND((B1044=""),(C1044=""),NbDépensesExtra&gt;=2)),TRUE)</f>
        <v>0</v>
      </c>
    </row>
    <row r="1045" spans="1:4" ht="15" hidden="1" thickTop="1" thickBot="1" x14ac:dyDescent="0.5">
      <c r="A1045" s="6" t="str">
        <f>Traduction!C242</f>
        <v>Année de fin</v>
      </c>
      <c r="B1045" s="95"/>
      <c r="C1045" s="95"/>
      <c r="D1045" t="b">
        <f>IF((AND((B1045=""),(C1045=""),NbDépensesExtra&gt;=2)),TRUE)</f>
        <v>0</v>
      </c>
    </row>
    <row r="1046" spans="1:4" ht="15" hidden="1" thickTop="1" thickBot="1" x14ac:dyDescent="0.5">
      <c r="A1046" s="6" t="s">
        <v>18</v>
      </c>
      <c r="B1046" s="96"/>
      <c r="C1046" s="96"/>
      <c r="D1046" t="b">
        <f>IF((AND((B1046=""),(C1046=""),NbDépensesExtra&gt;=2)),TRUE)</f>
        <v>0</v>
      </c>
    </row>
    <row r="1047" spans="1:4" ht="14.65" hidden="1" thickBot="1" x14ac:dyDescent="0.5">
      <c r="A1047" s="173" t="str">
        <f>Traduction!C236</f>
        <v>Dépense extraordinaire 3</v>
      </c>
      <c r="B1047" s="174"/>
      <c r="C1047" s="175"/>
    </row>
    <row r="1048" spans="1:4" ht="15" hidden="1" thickTop="1" thickBot="1" x14ac:dyDescent="0.5">
      <c r="A1048" s="6" t="str">
        <f>Traduction!C239</f>
        <v>Nature de la dépense (ex.: rénovations de la résidence principale)</v>
      </c>
      <c r="B1048" s="95"/>
      <c r="C1048" s="95"/>
      <c r="D1048" t="b">
        <f>IF((AND((B1048=""),(C1048=""),NbDépensesExtra&gt;=3)),TRUE)</f>
        <v>0</v>
      </c>
    </row>
    <row r="1049" spans="1:4" ht="15" hidden="1" thickTop="1" thickBot="1" x14ac:dyDescent="0.5">
      <c r="A1049" s="6" t="str">
        <f>Traduction!C240</f>
        <v>Montant de la dépense ($)</v>
      </c>
      <c r="B1049" s="94"/>
      <c r="C1049" s="94"/>
      <c r="D1049" t="b">
        <f>IF((AND((B1049=""),(C1049=""),NbDépensesExtra&gt;=3)),TRUE)</f>
        <v>0</v>
      </c>
    </row>
    <row r="1050" spans="1:4" ht="15" hidden="1" thickTop="1" thickBot="1" x14ac:dyDescent="0.5">
      <c r="A1050" s="6" t="str">
        <f>Traduction!C241</f>
        <v>Année de début</v>
      </c>
      <c r="B1050" s="95"/>
      <c r="C1050" s="95"/>
      <c r="D1050" t="b">
        <f>IF((AND((B1050=""),(C1050=""),NbDépensesExtra&gt;=3)),TRUE)</f>
        <v>0</v>
      </c>
    </row>
    <row r="1051" spans="1:4" ht="15" hidden="1" thickTop="1" thickBot="1" x14ac:dyDescent="0.5">
      <c r="A1051" s="6" t="str">
        <f>Traduction!C242</f>
        <v>Année de fin</v>
      </c>
      <c r="B1051" s="95"/>
      <c r="C1051" s="95"/>
      <c r="D1051" t="b">
        <f>IF((AND((B1051=""),(C1051=""),NbDépensesExtra&gt;=3)),TRUE)</f>
        <v>0</v>
      </c>
    </row>
    <row r="1052" spans="1:4" ht="15" hidden="1" thickTop="1" thickBot="1" x14ac:dyDescent="0.5">
      <c r="A1052" s="6" t="s">
        <v>18</v>
      </c>
      <c r="B1052" s="96"/>
      <c r="C1052" s="96"/>
      <c r="D1052" t="b">
        <f>IF((AND((B1052=""),(C1052=""),NbDépensesExtra&gt;=3)),TRUE)</f>
        <v>0</v>
      </c>
    </row>
    <row r="1053" spans="1:4" ht="14.65" hidden="1" thickBot="1" x14ac:dyDescent="0.5">
      <c r="A1053" s="173" t="str">
        <f>Traduction!C237</f>
        <v>Dépense extraordinaire 4</v>
      </c>
      <c r="B1053" s="174"/>
      <c r="C1053" s="175"/>
    </row>
    <row r="1054" spans="1:4" ht="15" hidden="1" thickTop="1" thickBot="1" x14ac:dyDescent="0.5">
      <c r="A1054" s="6" t="str">
        <f>Traduction!C239</f>
        <v>Nature de la dépense (ex.: rénovations de la résidence principale)</v>
      </c>
      <c r="B1054" s="95"/>
      <c r="C1054" s="95"/>
      <c r="D1054" t="b">
        <f>IF((AND((B1054=""),(C1054=""),NbDépensesExtra&gt;=4)),TRUE)</f>
        <v>0</v>
      </c>
    </row>
    <row r="1055" spans="1:4" ht="15" hidden="1" thickTop="1" thickBot="1" x14ac:dyDescent="0.5">
      <c r="A1055" s="6" t="str">
        <f>Traduction!C240</f>
        <v>Montant de la dépense ($)</v>
      </c>
      <c r="B1055" s="94"/>
      <c r="C1055" s="94"/>
      <c r="D1055" t="b">
        <f>IF((AND((B1055=""),(C1055=""),NbDépensesExtra&gt;=4)),TRUE)</f>
        <v>0</v>
      </c>
    </row>
    <row r="1056" spans="1:4" ht="15" hidden="1" thickTop="1" thickBot="1" x14ac:dyDescent="0.5">
      <c r="A1056" s="6" t="str">
        <f>Traduction!C241</f>
        <v>Année de début</v>
      </c>
      <c r="B1056" s="95"/>
      <c r="C1056" s="95"/>
      <c r="D1056" t="b">
        <f>IF((AND((B1056=""),(C1056=""),NbDépensesExtra&gt;=4)),TRUE)</f>
        <v>0</v>
      </c>
    </row>
    <row r="1057" spans="1:4" ht="15" hidden="1" thickTop="1" thickBot="1" x14ac:dyDescent="0.5">
      <c r="A1057" s="6" t="str">
        <f>Traduction!C242</f>
        <v>Année de fin</v>
      </c>
      <c r="B1057" s="95"/>
      <c r="C1057" s="95"/>
      <c r="D1057" t="b">
        <f>IF((AND((B1057=""),(C1057=""),NbDépensesExtra&gt;=4)),TRUE)</f>
        <v>0</v>
      </c>
    </row>
    <row r="1058" spans="1:4" ht="15" hidden="1" thickTop="1" thickBot="1" x14ac:dyDescent="0.5">
      <c r="A1058" s="6" t="s">
        <v>18</v>
      </c>
      <c r="B1058" s="96"/>
      <c r="C1058" s="96"/>
      <c r="D1058" t="b">
        <f>IF((AND((B1058=""),(C1058=""),NbDépensesExtra&gt;=4)),TRUE)</f>
        <v>0</v>
      </c>
    </row>
    <row r="1059" spans="1:4" ht="14.65" hidden="1" thickBot="1" x14ac:dyDescent="0.5">
      <c r="A1059" s="173" t="str">
        <f>Traduction!C238</f>
        <v>Dépense extraordinaire 5</v>
      </c>
      <c r="B1059" s="174"/>
      <c r="C1059" s="175"/>
    </row>
    <row r="1060" spans="1:4" ht="15" hidden="1" thickTop="1" thickBot="1" x14ac:dyDescent="0.5">
      <c r="A1060" s="6" t="str">
        <f>Traduction!C239</f>
        <v>Nature de la dépense (ex.: rénovations de la résidence principale)</v>
      </c>
      <c r="B1060" s="95"/>
      <c r="C1060" s="95"/>
      <c r="D1060" t="b">
        <f>IF((AND((B1060=""),(C1060=""),NbDépensesExtra&gt;=5)),TRUE)</f>
        <v>0</v>
      </c>
    </row>
    <row r="1061" spans="1:4" ht="15" hidden="1" thickTop="1" thickBot="1" x14ac:dyDescent="0.5">
      <c r="A1061" s="6" t="str">
        <f>Traduction!C240</f>
        <v>Montant de la dépense ($)</v>
      </c>
      <c r="B1061" s="94"/>
      <c r="C1061" s="94"/>
      <c r="D1061" t="b">
        <f>IF((AND((B1061=""),(C1061=""),NbDépensesExtra&gt;=5)),TRUE)</f>
        <v>0</v>
      </c>
    </row>
    <row r="1062" spans="1:4" ht="15" hidden="1" thickTop="1" thickBot="1" x14ac:dyDescent="0.5">
      <c r="A1062" s="6" t="str">
        <f>Traduction!C241</f>
        <v>Année de début</v>
      </c>
      <c r="B1062" s="95"/>
      <c r="C1062" s="95"/>
      <c r="D1062" t="b">
        <f>IF((AND((B1062=""),(C1062=""),NbDépensesExtra&gt;=5)),TRUE)</f>
        <v>0</v>
      </c>
    </row>
    <row r="1063" spans="1:4" ht="15" hidden="1" thickTop="1" thickBot="1" x14ac:dyDescent="0.5">
      <c r="A1063" s="6" t="str">
        <f>Traduction!C242</f>
        <v>Année de fin</v>
      </c>
      <c r="B1063" s="95"/>
      <c r="C1063" s="95"/>
      <c r="D1063" t="b">
        <f>IF((AND((B1063=""),(C1063=""),NbDépensesExtra&gt;=5)),TRUE)</f>
        <v>0</v>
      </c>
    </row>
    <row r="1064" spans="1:4" ht="15" hidden="1" thickTop="1" thickBot="1" x14ac:dyDescent="0.5">
      <c r="A1064" s="6" t="s">
        <v>18</v>
      </c>
      <c r="B1064" s="96"/>
      <c r="C1064" s="96"/>
      <c r="D1064" t="b">
        <f>IF((AND((B1064=""),(C1064=""),NbDépensesExtra&gt;=5)),TRUE)</f>
        <v>0</v>
      </c>
    </row>
    <row r="1065" spans="1:4" ht="15" hidden="1" customHeight="1" x14ac:dyDescent="0.45">
      <c r="A1065" s="162" t="str">
        <f>Traduction!C243</f>
        <v>Revenu(s) extraordinaire(s)</v>
      </c>
      <c r="B1065" s="162"/>
      <c r="C1065" s="162"/>
    </row>
    <row r="1066" spans="1:4" ht="14.65" hidden="1" customHeight="1" x14ac:dyDescent="0.45">
      <c r="A1066" s="160"/>
      <c r="B1066" s="160"/>
      <c r="C1066" s="160"/>
    </row>
    <row r="1067" spans="1:4" ht="14.65" hidden="1" thickBot="1" x14ac:dyDescent="0.5">
      <c r="A1067" s="191" t="str">
        <f>Traduction!C244</f>
        <v>Revenu extraordinaire 1</v>
      </c>
      <c r="B1067" s="192"/>
      <c r="C1067" s="193"/>
    </row>
    <row r="1068" spans="1:4" ht="15" hidden="1" thickTop="1" thickBot="1" x14ac:dyDescent="0.5">
      <c r="A1068" s="2" t="str">
        <f>Traduction!C249</f>
        <v>Nature du revenu (ex.: héritage)</v>
      </c>
      <c r="B1068" s="95"/>
      <c r="C1068" s="95"/>
      <c r="D1068" t="b">
        <f t="shared" ref="D1068:D1073" si="86">IF((AND((B1068=""),(C1068=""),NbRevenusExtra&gt;=1)),TRUE)</f>
        <v>0</v>
      </c>
    </row>
    <row r="1069" spans="1:4" ht="15" hidden="1" thickTop="1" thickBot="1" x14ac:dyDescent="0.5">
      <c r="A1069" s="2" t="str">
        <f>Traduction!C250</f>
        <v>Montant brut du revenu ($)</v>
      </c>
      <c r="B1069" s="94"/>
      <c r="C1069" s="94"/>
      <c r="D1069" t="b">
        <f t="shared" si="86"/>
        <v>0</v>
      </c>
    </row>
    <row r="1070" spans="1:4" ht="15" hidden="1" thickTop="1" thickBot="1" x14ac:dyDescent="0.5">
      <c r="A1070" s="2" t="str">
        <f>Traduction!C251</f>
        <v>Personne qui reçoit (inscrire dans la case gauche ou droite)</v>
      </c>
      <c r="B1070" s="95"/>
      <c r="C1070" s="95"/>
      <c r="D1070" t="b">
        <f t="shared" si="86"/>
        <v>0</v>
      </c>
    </row>
    <row r="1071" spans="1:4" ht="15" hidden="1" thickTop="1" thickBot="1" x14ac:dyDescent="0.5">
      <c r="A1071" s="2" t="str">
        <f>Traduction!C241</f>
        <v>Année de début</v>
      </c>
      <c r="B1071" s="95"/>
      <c r="C1071" s="95"/>
      <c r="D1071" t="b">
        <f t="shared" si="86"/>
        <v>0</v>
      </c>
    </row>
    <row r="1072" spans="1:4" ht="15" hidden="1" thickTop="1" thickBot="1" x14ac:dyDescent="0.5">
      <c r="A1072" s="2" t="str">
        <f>Traduction!C242</f>
        <v>Année de fin</v>
      </c>
      <c r="B1072" s="95"/>
      <c r="C1072" s="95"/>
      <c r="D1072" t="b">
        <f t="shared" si="86"/>
        <v>0</v>
      </c>
    </row>
    <row r="1073" spans="1:4" ht="15" hidden="1" thickTop="1" thickBot="1" x14ac:dyDescent="0.5">
      <c r="A1073" s="2" t="s">
        <v>18</v>
      </c>
      <c r="B1073" s="96"/>
      <c r="C1073" s="96"/>
      <c r="D1073" t="b">
        <f t="shared" si="86"/>
        <v>0</v>
      </c>
    </row>
    <row r="1074" spans="1:4" ht="14.65" hidden="1" thickBot="1" x14ac:dyDescent="0.5">
      <c r="A1074" s="173" t="str">
        <f>Traduction!C245</f>
        <v>Revenu extraordinaire 2</v>
      </c>
      <c r="B1074" s="174"/>
      <c r="C1074" s="175"/>
    </row>
    <row r="1075" spans="1:4" ht="15" hidden="1" thickTop="1" thickBot="1" x14ac:dyDescent="0.5">
      <c r="A1075" s="2" t="s">
        <v>19</v>
      </c>
      <c r="B1075" s="95"/>
      <c r="C1075" s="95"/>
      <c r="D1075" t="b">
        <f t="shared" ref="D1075:D1080" si="87">IF((AND((B1075=""),(C1075=""),NbRevenusExtra&gt;=2)),TRUE)</f>
        <v>0</v>
      </c>
    </row>
    <row r="1076" spans="1:4" ht="15" hidden="1" thickTop="1" thickBot="1" x14ac:dyDescent="0.5">
      <c r="A1076" s="2" t="s">
        <v>20</v>
      </c>
      <c r="B1076" s="94"/>
      <c r="C1076" s="94"/>
      <c r="D1076" t="b">
        <f t="shared" si="87"/>
        <v>0</v>
      </c>
    </row>
    <row r="1077" spans="1:4" ht="15" hidden="1" thickTop="1" thickBot="1" x14ac:dyDescent="0.5">
      <c r="A1077" s="2" t="s">
        <v>21</v>
      </c>
      <c r="B1077" s="95"/>
      <c r="C1077" s="95"/>
      <c r="D1077" t="b">
        <f t="shared" si="87"/>
        <v>0</v>
      </c>
    </row>
    <row r="1078" spans="1:4" ht="15" hidden="1" thickTop="1" thickBot="1" x14ac:dyDescent="0.5">
      <c r="A1078" s="2" t="s">
        <v>22</v>
      </c>
      <c r="B1078" s="95"/>
      <c r="C1078" s="95"/>
      <c r="D1078" t="b">
        <f t="shared" si="87"/>
        <v>0</v>
      </c>
    </row>
    <row r="1079" spans="1:4" ht="15" hidden="1" thickTop="1" thickBot="1" x14ac:dyDescent="0.5">
      <c r="A1079" s="2" t="s">
        <v>23</v>
      </c>
      <c r="B1079" s="95"/>
      <c r="C1079" s="95"/>
      <c r="D1079" t="b">
        <f t="shared" si="87"/>
        <v>0</v>
      </c>
    </row>
    <row r="1080" spans="1:4" ht="15" hidden="1" thickTop="1" thickBot="1" x14ac:dyDescent="0.5">
      <c r="A1080" s="2" t="s">
        <v>18</v>
      </c>
      <c r="B1080" s="96"/>
      <c r="C1080" s="96"/>
      <c r="D1080" t="b">
        <f t="shared" si="87"/>
        <v>0</v>
      </c>
    </row>
    <row r="1081" spans="1:4" ht="14.65" hidden="1" thickBot="1" x14ac:dyDescent="0.5">
      <c r="A1081" s="173" t="str">
        <f>Traduction!C246</f>
        <v>Revenu extraordinaire 3</v>
      </c>
      <c r="B1081" s="174"/>
      <c r="C1081" s="175"/>
    </row>
    <row r="1082" spans="1:4" ht="15" hidden="1" thickTop="1" thickBot="1" x14ac:dyDescent="0.5">
      <c r="A1082" s="2" t="s">
        <v>19</v>
      </c>
      <c r="B1082" s="95"/>
      <c r="C1082" s="95"/>
      <c r="D1082" t="b">
        <f t="shared" ref="D1082:D1087" si="88">IF((AND((B1082=""),(C1082=""),NbRevenusExtra&gt;=3)),TRUE)</f>
        <v>0</v>
      </c>
    </row>
    <row r="1083" spans="1:4" ht="15" hidden="1" thickTop="1" thickBot="1" x14ac:dyDescent="0.5">
      <c r="A1083" s="2" t="s">
        <v>20</v>
      </c>
      <c r="B1083" s="94"/>
      <c r="C1083" s="94"/>
      <c r="D1083" t="b">
        <f t="shared" si="88"/>
        <v>0</v>
      </c>
    </row>
    <row r="1084" spans="1:4" ht="15" hidden="1" thickTop="1" thickBot="1" x14ac:dyDescent="0.5">
      <c r="A1084" s="2" t="s">
        <v>21</v>
      </c>
      <c r="B1084" s="95"/>
      <c r="C1084" s="95"/>
      <c r="D1084" t="b">
        <f t="shared" si="88"/>
        <v>0</v>
      </c>
    </row>
    <row r="1085" spans="1:4" ht="15" hidden="1" thickTop="1" thickBot="1" x14ac:dyDescent="0.5">
      <c r="A1085" s="2" t="s">
        <v>22</v>
      </c>
      <c r="B1085" s="95"/>
      <c r="C1085" s="95"/>
      <c r="D1085" t="b">
        <f t="shared" si="88"/>
        <v>0</v>
      </c>
    </row>
    <row r="1086" spans="1:4" ht="15" hidden="1" thickTop="1" thickBot="1" x14ac:dyDescent="0.5">
      <c r="A1086" s="2" t="s">
        <v>23</v>
      </c>
      <c r="B1086" s="95"/>
      <c r="C1086" s="95"/>
      <c r="D1086" t="b">
        <f t="shared" si="88"/>
        <v>0</v>
      </c>
    </row>
    <row r="1087" spans="1:4" ht="15" hidden="1" thickTop="1" thickBot="1" x14ac:dyDescent="0.5">
      <c r="A1087" s="2" t="s">
        <v>18</v>
      </c>
      <c r="B1087" s="96"/>
      <c r="C1087" s="96"/>
      <c r="D1087" t="b">
        <f t="shared" si="88"/>
        <v>0</v>
      </c>
    </row>
    <row r="1088" spans="1:4" ht="14.65" hidden="1" thickBot="1" x14ac:dyDescent="0.5">
      <c r="A1088" s="173" t="str">
        <f>Traduction!C247</f>
        <v>Revenu extraordinaire 4</v>
      </c>
      <c r="B1088" s="174"/>
      <c r="C1088" s="175"/>
    </row>
    <row r="1089" spans="1:4" ht="15" hidden="1" thickTop="1" thickBot="1" x14ac:dyDescent="0.5">
      <c r="A1089" s="2" t="s">
        <v>19</v>
      </c>
      <c r="B1089" s="95"/>
      <c r="C1089" s="95"/>
      <c r="D1089" t="b">
        <f t="shared" ref="D1089:D1094" si="89">IF((AND((B1089=""),(C1089=""),NbRevenusExtra&gt;=4)),TRUE)</f>
        <v>0</v>
      </c>
    </row>
    <row r="1090" spans="1:4" ht="15" hidden="1" thickTop="1" thickBot="1" x14ac:dyDescent="0.5">
      <c r="A1090" s="2" t="s">
        <v>20</v>
      </c>
      <c r="B1090" s="94"/>
      <c r="C1090" s="94"/>
      <c r="D1090" t="b">
        <f t="shared" si="89"/>
        <v>0</v>
      </c>
    </row>
    <row r="1091" spans="1:4" ht="15" hidden="1" thickTop="1" thickBot="1" x14ac:dyDescent="0.5">
      <c r="A1091" s="2" t="s">
        <v>21</v>
      </c>
      <c r="B1091" s="95"/>
      <c r="C1091" s="95"/>
      <c r="D1091" t="b">
        <f t="shared" si="89"/>
        <v>0</v>
      </c>
    </row>
    <row r="1092" spans="1:4" ht="15" hidden="1" thickTop="1" thickBot="1" x14ac:dyDescent="0.5">
      <c r="A1092" s="2" t="s">
        <v>22</v>
      </c>
      <c r="B1092" s="95"/>
      <c r="C1092" s="95"/>
      <c r="D1092" t="b">
        <f t="shared" si="89"/>
        <v>0</v>
      </c>
    </row>
    <row r="1093" spans="1:4" ht="15" hidden="1" thickTop="1" thickBot="1" x14ac:dyDescent="0.5">
      <c r="A1093" s="2" t="s">
        <v>23</v>
      </c>
      <c r="B1093" s="95"/>
      <c r="C1093" s="95"/>
      <c r="D1093" t="b">
        <f t="shared" si="89"/>
        <v>0</v>
      </c>
    </row>
    <row r="1094" spans="1:4" ht="15" hidden="1" thickTop="1" thickBot="1" x14ac:dyDescent="0.5">
      <c r="A1094" s="2" t="s">
        <v>18</v>
      </c>
      <c r="B1094" s="96"/>
      <c r="C1094" s="96"/>
      <c r="D1094" t="b">
        <f t="shared" si="89"/>
        <v>0</v>
      </c>
    </row>
    <row r="1095" spans="1:4" ht="14.65" hidden="1" thickBot="1" x14ac:dyDescent="0.5">
      <c r="A1095" s="173" t="str">
        <f>Traduction!C248</f>
        <v>Revenu extraordinaire 5</v>
      </c>
      <c r="B1095" s="174"/>
      <c r="C1095" s="175"/>
    </row>
    <row r="1096" spans="1:4" ht="15" hidden="1" thickTop="1" thickBot="1" x14ac:dyDescent="0.5">
      <c r="A1096" s="2" t="s">
        <v>19</v>
      </c>
      <c r="B1096" s="95"/>
      <c r="C1096" s="95"/>
      <c r="D1096" t="b">
        <f t="shared" ref="D1096:D1101" si="90">IF((AND((B1096=""),(C1096=""),NbRevenusExtra&gt;=5)),TRUE)</f>
        <v>0</v>
      </c>
    </row>
    <row r="1097" spans="1:4" ht="15" hidden="1" thickTop="1" thickBot="1" x14ac:dyDescent="0.5">
      <c r="A1097" s="2" t="s">
        <v>20</v>
      </c>
      <c r="B1097" s="94"/>
      <c r="C1097" s="94"/>
      <c r="D1097" t="b">
        <f t="shared" si="90"/>
        <v>0</v>
      </c>
    </row>
    <row r="1098" spans="1:4" ht="15" hidden="1" thickTop="1" thickBot="1" x14ac:dyDescent="0.5">
      <c r="A1098" s="2" t="s">
        <v>21</v>
      </c>
      <c r="B1098" s="95"/>
      <c r="C1098" s="95"/>
      <c r="D1098" t="b">
        <f t="shared" si="90"/>
        <v>0</v>
      </c>
    </row>
    <row r="1099" spans="1:4" ht="15" hidden="1" thickTop="1" thickBot="1" x14ac:dyDescent="0.5">
      <c r="A1099" s="2" t="s">
        <v>22</v>
      </c>
      <c r="B1099" s="95"/>
      <c r="C1099" s="95"/>
      <c r="D1099" t="b">
        <f t="shared" si="90"/>
        <v>0</v>
      </c>
    </row>
    <row r="1100" spans="1:4" ht="15" hidden="1" thickTop="1" thickBot="1" x14ac:dyDescent="0.5">
      <c r="A1100" s="2" t="s">
        <v>23</v>
      </c>
      <c r="B1100" s="95"/>
      <c r="C1100" s="95"/>
      <c r="D1100" t="b">
        <f t="shared" si="90"/>
        <v>0</v>
      </c>
    </row>
    <row r="1101" spans="1:4" ht="15" hidden="1" thickTop="1" thickBot="1" x14ac:dyDescent="0.5">
      <c r="A1101" s="2" t="s">
        <v>18</v>
      </c>
      <c r="B1101" s="96"/>
      <c r="C1101" s="96"/>
      <c r="D1101" t="b">
        <f t="shared" si="90"/>
        <v>0</v>
      </c>
    </row>
    <row r="1102" spans="1:4" ht="15" customHeight="1" x14ac:dyDescent="0.45"/>
  </sheetData>
  <sheetProtection algorithmName="SHA-512" hashValue="0Uh8FMdGf0bzjdVs7CF3BnSUnzVVJrMMg3IcNQwvBg4WNFm4mgZMbH+ZquSTuH3YEVcCBVK0K72AC1EXcwjFng==" saltValue="1tMtelontuuRnM7m/l4Fjg==" spinCount="100000" sheet="1" objects="1" scenarios="1" formatCells="0" formatColumns="0" formatRows="0"/>
  <mergeCells count="893">
    <mergeCell ref="B334:C334"/>
    <mergeCell ref="B335:C335"/>
    <mergeCell ref="B337:C337"/>
    <mergeCell ref="B338:C338"/>
    <mergeCell ref="B339:C339"/>
    <mergeCell ref="B341:C341"/>
    <mergeCell ref="B342:C342"/>
    <mergeCell ref="B343:C343"/>
    <mergeCell ref="A316:C316"/>
    <mergeCell ref="A320:C320"/>
    <mergeCell ref="A324:C324"/>
    <mergeCell ref="A328:C328"/>
    <mergeCell ref="A332:C332"/>
    <mergeCell ref="A336:C336"/>
    <mergeCell ref="A340:C340"/>
    <mergeCell ref="B325:C325"/>
    <mergeCell ref="B326:C326"/>
    <mergeCell ref="B327:C327"/>
    <mergeCell ref="B329:C329"/>
    <mergeCell ref="B330:C330"/>
    <mergeCell ref="B331:C331"/>
    <mergeCell ref="B333:C333"/>
    <mergeCell ref="B313:C313"/>
    <mergeCell ref="B314:C314"/>
    <mergeCell ref="B315:C315"/>
    <mergeCell ref="B317:C317"/>
    <mergeCell ref="B318:C318"/>
    <mergeCell ref="B319:C319"/>
    <mergeCell ref="B321:C321"/>
    <mergeCell ref="B322:C322"/>
    <mergeCell ref="B323:C323"/>
    <mergeCell ref="B294:C294"/>
    <mergeCell ref="B295:C295"/>
    <mergeCell ref="B296:C296"/>
    <mergeCell ref="B297:C297"/>
    <mergeCell ref="B298:C298"/>
    <mergeCell ref="B299:C299"/>
    <mergeCell ref="B300:C300"/>
    <mergeCell ref="B301:C301"/>
    <mergeCell ref="A312:C312"/>
    <mergeCell ref="B284:C284"/>
    <mergeCell ref="B285:C285"/>
    <mergeCell ref="B286:C286"/>
    <mergeCell ref="B287:C287"/>
    <mergeCell ref="B288:C288"/>
    <mergeCell ref="B289:C289"/>
    <mergeCell ref="A290:C290"/>
    <mergeCell ref="B291:C291"/>
    <mergeCell ref="B293:C293"/>
    <mergeCell ref="B274:C274"/>
    <mergeCell ref="B275:C275"/>
    <mergeCell ref="B276:C276"/>
    <mergeCell ref="B277:C277"/>
    <mergeCell ref="A278:C278"/>
    <mergeCell ref="B279:C279"/>
    <mergeCell ref="B281:C281"/>
    <mergeCell ref="B282:C282"/>
    <mergeCell ref="B283:C283"/>
    <mergeCell ref="B264:C264"/>
    <mergeCell ref="B265:C265"/>
    <mergeCell ref="A266:C266"/>
    <mergeCell ref="B267:C267"/>
    <mergeCell ref="B269:C269"/>
    <mergeCell ref="B270:C270"/>
    <mergeCell ref="B271:C271"/>
    <mergeCell ref="B272:C272"/>
    <mergeCell ref="B273:C273"/>
    <mergeCell ref="A254:C254"/>
    <mergeCell ref="B255:C255"/>
    <mergeCell ref="B257:C257"/>
    <mergeCell ref="B258:C258"/>
    <mergeCell ref="B259:C259"/>
    <mergeCell ref="B260:C260"/>
    <mergeCell ref="B261:C261"/>
    <mergeCell ref="B262:C262"/>
    <mergeCell ref="B263:C263"/>
    <mergeCell ref="B909:C909"/>
    <mergeCell ref="B910:C910"/>
    <mergeCell ref="B912:C912"/>
    <mergeCell ref="B920:C920"/>
    <mergeCell ref="B919:C919"/>
    <mergeCell ref="B913:C913"/>
    <mergeCell ref="B918:C918"/>
    <mergeCell ref="B914:C914"/>
    <mergeCell ref="B917:C917"/>
    <mergeCell ref="B915:C915"/>
    <mergeCell ref="B916:C916"/>
    <mergeCell ref="B911:C911"/>
    <mergeCell ref="B896:C896"/>
    <mergeCell ref="B897:C897"/>
    <mergeCell ref="B907:C907"/>
    <mergeCell ref="B906:C906"/>
    <mergeCell ref="B905:C905"/>
    <mergeCell ref="B904:C904"/>
    <mergeCell ref="B903:C903"/>
    <mergeCell ref="B902:C902"/>
    <mergeCell ref="B901:C901"/>
    <mergeCell ref="B899:C899"/>
    <mergeCell ref="B900:C900"/>
    <mergeCell ref="B898:C898"/>
    <mergeCell ref="B883:C883"/>
    <mergeCell ref="B884:C884"/>
    <mergeCell ref="B894:C894"/>
    <mergeCell ref="B893:C893"/>
    <mergeCell ref="B892:C892"/>
    <mergeCell ref="B891:C891"/>
    <mergeCell ref="B890:C890"/>
    <mergeCell ref="B889:C889"/>
    <mergeCell ref="B888:C888"/>
    <mergeCell ref="B887:C887"/>
    <mergeCell ref="B886:C886"/>
    <mergeCell ref="B885:C885"/>
    <mergeCell ref="B879:C879"/>
    <mergeCell ref="B878:C878"/>
    <mergeCell ref="B877:C877"/>
    <mergeCell ref="B876:C876"/>
    <mergeCell ref="B875:C875"/>
    <mergeCell ref="B874:C874"/>
    <mergeCell ref="B873:C873"/>
    <mergeCell ref="B870:C870"/>
    <mergeCell ref="B871:C871"/>
    <mergeCell ref="B872:C872"/>
    <mergeCell ref="B880:C880"/>
    <mergeCell ref="A1067:C1067"/>
    <mergeCell ref="A854:C855"/>
    <mergeCell ref="A565:C565"/>
    <mergeCell ref="A550:C550"/>
    <mergeCell ref="B523:C523"/>
    <mergeCell ref="B538:C538"/>
    <mergeCell ref="B553:C553"/>
    <mergeCell ref="B568:C568"/>
    <mergeCell ref="B583:C583"/>
    <mergeCell ref="B598:C598"/>
    <mergeCell ref="B613:C613"/>
    <mergeCell ref="B628:C628"/>
    <mergeCell ref="B643:C643"/>
    <mergeCell ref="B658:C658"/>
    <mergeCell ref="B654:C654"/>
    <mergeCell ref="A824:C824"/>
    <mergeCell ref="B825:C825"/>
    <mergeCell ref="A784:C784"/>
    <mergeCell ref="B785:C785"/>
    <mergeCell ref="B786:C786"/>
    <mergeCell ref="B787:C787"/>
    <mergeCell ref="A794:C794"/>
    <mergeCell ref="B795:C795"/>
    <mergeCell ref="B631:C631"/>
    <mergeCell ref="B632:C632"/>
    <mergeCell ref="A1088:C1088"/>
    <mergeCell ref="A1081:C1081"/>
    <mergeCell ref="A1074:C1074"/>
    <mergeCell ref="A1035:C1035"/>
    <mergeCell ref="A908:C908"/>
    <mergeCell ref="A895:C895"/>
    <mergeCell ref="A882:C882"/>
    <mergeCell ref="A869:C869"/>
    <mergeCell ref="A856:C856"/>
    <mergeCell ref="B857:C857"/>
    <mergeCell ref="B858:C858"/>
    <mergeCell ref="B859:C859"/>
    <mergeCell ref="B860:C860"/>
    <mergeCell ref="B868:C868"/>
    <mergeCell ref="B867:C867"/>
    <mergeCell ref="B866:C866"/>
    <mergeCell ref="B865:C865"/>
    <mergeCell ref="B864:C864"/>
    <mergeCell ref="B862:C862"/>
    <mergeCell ref="B861:C861"/>
    <mergeCell ref="B863:C863"/>
    <mergeCell ref="B881:C881"/>
    <mergeCell ref="B805:C805"/>
    <mergeCell ref="B806:C806"/>
    <mergeCell ref="B807:C807"/>
    <mergeCell ref="A814:C814"/>
    <mergeCell ref="B815:C815"/>
    <mergeCell ref="B816:C816"/>
    <mergeCell ref="B817:C817"/>
    <mergeCell ref="B679:C679"/>
    <mergeCell ref="B678:C678"/>
    <mergeCell ref="B796:C796"/>
    <mergeCell ref="B797:C797"/>
    <mergeCell ref="A804:C804"/>
    <mergeCell ref="A688:C688"/>
    <mergeCell ref="A696:C696"/>
    <mergeCell ref="A704:C704"/>
    <mergeCell ref="B693:C693"/>
    <mergeCell ref="B694:C694"/>
    <mergeCell ref="B687:C687"/>
    <mergeCell ref="B689:C689"/>
    <mergeCell ref="B695:C695"/>
    <mergeCell ref="B684:C684"/>
    <mergeCell ref="B685:C685"/>
    <mergeCell ref="B686:C686"/>
    <mergeCell ref="B705:C705"/>
    <mergeCell ref="B847:C847"/>
    <mergeCell ref="B826:C826"/>
    <mergeCell ref="B827:C827"/>
    <mergeCell ref="A834:C834"/>
    <mergeCell ref="B835:C835"/>
    <mergeCell ref="B836:C836"/>
    <mergeCell ref="B837:C837"/>
    <mergeCell ref="A844:C844"/>
    <mergeCell ref="B845:C845"/>
    <mergeCell ref="B846:C846"/>
    <mergeCell ref="B664:C664"/>
    <mergeCell ref="B665:C665"/>
    <mergeCell ref="B666:C666"/>
    <mergeCell ref="B667:C667"/>
    <mergeCell ref="B668:C668"/>
    <mergeCell ref="B669:C669"/>
    <mergeCell ref="B645:C645"/>
    <mergeCell ref="B646:C646"/>
    <mergeCell ref="B647:C647"/>
    <mergeCell ref="B648:C648"/>
    <mergeCell ref="B649:C649"/>
    <mergeCell ref="B650:C650"/>
    <mergeCell ref="B651:C651"/>
    <mergeCell ref="B652:C652"/>
    <mergeCell ref="B653:C653"/>
    <mergeCell ref="B656:C656"/>
    <mergeCell ref="B657:C657"/>
    <mergeCell ref="B659:C659"/>
    <mergeCell ref="A670:C671"/>
    <mergeCell ref="A672:C672"/>
    <mergeCell ref="B635:C635"/>
    <mergeCell ref="B311:C311"/>
    <mergeCell ref="B309:C309"/>
    <mergeCell ref="B641:C641"/>
    <mergeCell ref="B642:C642"/>
    <mergeCell ref="B644:C644"/>
    <mergeCell ref="B636:C636"/>
    <mergeCell ref="B637:C637"/>
    <mergeCell ref="B638:C638"/>
    <mergeCell ref="B639:C639"/>
    <mergeCell ref="B622:C622"/>
    <mergeCell ref="B623:C623"/>
    <mergeCell ref="B624:C624"/>
    <mergeCell ref="B627:C627"/>
    <mergeCell ref="B629:C629"/>
    <mergeCell ref="B630:C630"/>
    <mergeCell ref="B601:C601"/>
    <mergeCell ref="B602:C602"/>
    <mergeCell ref="B620:C620"/>
    <mergeCell ref="B621:C621"/>
    <mergeCell ref="B589:C589"/>
    <mergeCell ref="B590:C590"/>
    <mergeCell ref="B591:C591"/>
    <mergeCell ref="B592:C592"/>
    <mergeCell ref="A680:C680"/>
    <mergeCell ref="B660:C660"/>
    <mergeCell ref="B661:C661"/>
    <mergeCell ref="B662:C662"/>
    <mergeCell ref="B663:C663"/>
    <mergeCell ref="B675:C675"/>
    <mergeCell ref="B674:C674"/>
    <mergeCell ref="B677:C677"/>
    <mergeCell ref="B676:C676"/>
    <mergeCell ref="B603:C603"/>
    <mergeCell ref="B604:C604"/>
    <mergeCell ref="B605:C605"/>
    <mergeCell ref="B606:C606"/>
    <mergeCell ref="B633:C633"/>
    <mergeCell ref="B634:C634"/>
    <mergeCell ref="B607:C607"/>
    <mergeCell ref="B608:C608"/>
    <mergeCell ref="B609:C609"/>
    <mergeCell ref="B612:C612"/>
    <mergeCell ref="B614:C614"/>
    <mergeCell ref="A610:C610"/>
    <mergeCell ref="B611:C611"/>
    <mergeCell ref="A625:C625"/>
    <mergeCell ref="B626:C626"/>
    <mergeCell ref="B615:C615"/>
    <mergeCell ref="B616:C616"/>
    <mergeCell ref="B617:C617"/>
    <mergeCell ref="B618:C618"/>
    <mergeCell ref="B619:C619"/>
    <mergeCell ref="B593:C593"/>
    <mergeCell ref="B594:C594"/>
    <mergeCell ref="B597:C597"/>
    <mergeCell ref="B599:C599"/>
    <mergeCell ref="B600:C600"/>
    <mergeCell ref="B579:C579"/>
    <mergeCell ref="B582:C582"/>
    <mergeCell ref="B584:C584"/>
    <mergeCell ref="B585:C585"/>
    <mergeCell ref="A580:C580"/>
    <mergeCell ref="B581:C581"/>
    <mergeCell ref="B586:C586"/>
    <mergeCell ref="B587:C587"/>
    <mergeCell ref="B588:C588"/>
    <mergeCell ref="B572:C572"/>
    <mergeCell ref="B573:C573"/>
    <mergeCell ref="B574:C574"/>
    <mergeCell ref="B566:C566"/>
    <mergeCell ref="B575:C575"/>
    <mergeCell ref="B576:C576"/>
    <mergeCell ref="B577:C577"/>
    <mergeCell ref="B578:C578"/>
    <mergeCell ref="B560:C560"/>
    <mergeCell ref="B561:C561"/>
    <mergeCell ref="B562:C562"/>
    <mergeCell ref="B563:C563"/>
    <mergeCell ref="B564:C564"/>
    <mergeCell ref="B567:C567"/>
    <mergeCell ref="B569:C569"/>
    <mergeCell ref="B570:C570"/>
    <mergeCell ref="B571:C571"/>
    <mergeCell ref="B552:C552"/>
    <mergeCell ref="B554:C554"/>
    <mergeCell ref="B551:C551"/>
    <mergeCell ref="B555:C555"/>
    <mergeCell ref="B556:C556"/>
    <mergeCell ref="B557:C557"/>
    <mergeCell ref="B558:C558"/>
    <mergeCell ref="B559:C559"/>
    <mergeCell ref="B540:C540"/>
    <mergeCell ref="B541:C541"/>
    <mergeCell ref="B542:C542"/>
    <mergeCell ref="B544:C544"/>
    <mergeCell ref="B545:C545"/>
    <mergeCell ref="B546:C546"/>
    <mergeCell ref="B547:C547"/>
    <mergeCell ref="B548:C548"/>
    <mergeCell ref="B549:C549"/>
    <mergeCell ref="B513:C513"/>
    <mergeCell ref="B514:C514"/>
    <mergeCell ref="B515:C515"/>
    <mergeCell ref="B516:C516"/>
    <mergeCell ref="B517:C517"/>
    <mergeCell ref="B522:C522"/>
    <mergeCell ref="B524:C524"/>
    <mergeCell ref="B521:C521"/>
    <mergeCell ref="B543:C543"/>
    <mergeCell ref="A518:C519"/>
    <mergeCell ref="A520:C520"/>
    <mergeCell ref="A535:C535"/>
    <mergeCell ref="B536:C536"/>
    <mergeCell ref="B525:C525"/>
    <mergeCell ref="B526:C526"/>
    <mergeCell ref="B528:C528"/>
    <mergeCell ref="B527:C527"/>
    <mergeCell ref="B529:C529"/>
    <mergeCell ref="B530:C530"/>
    <mergeCell ref="B531:C531"/>
    <mergeCell ref="B532:C532"/>
    <mergeCell ref="B533:C533"/>
    <mergeCell ref="B534:C534"/>
    <mergeCell ref="B539:C539"/>
    <mergeCell ref="B502:C502"/>
    <mergeCell ref="B503:C503"/>
    <mergeCell ref="B505:C505"/>
    <mergeCell ref="B506:C506"/>
    <mergeCell ref="B508:C508"/>
    <mergeCell ref="B509:C509"/>
    <mergeCell ref="B510:C510"/>
    <mergeCell ref="B511:C511"/>
    <mergeCell ref="B512:C512"/>
    <mergeCell ref="A504:C504"/>
    <mergeCell ref="B492:C492"/>
    <mergeCell ref="B494:C494"/>
    <mergeCell ref="B495:C495"/>
    <mergeCell ref="B496:C496"/>
    <mergeCell ref="B497:C497"/>
    <mergeCell ref="B498:C498"/>
    <mergeCell ref="B499:C499"/>
    <mergeCell ref="B500:C500"/>
    <mergeCell ref="B501:C501"/>
    <mergeCell ref="B482:C482"/>
    <mergeCell ref="B483:C483"/>
    <mergeCell ref="B484:C484"/>
    <mergeCell ref="B485:C485"/>
    <mergeCell ref="B486:C486"/>
    <mergeCell ref="B487:C487"/>
    <mergeCell ref="B488:C488"/>
    <mergeCell ref="B489:C489"/>
    <mergeCell ref="B491:C491"/>
    <mergeCell ref="A490:C490"/>
    <mergeCell ref="B472:C472"/>
    <mergeCell ref="B473:C473"/>
    <mergeCell ref="B474:C474"/>
    <mergeCell ref="B475:C475"/>
    <mergeCell ref="B477:C477"/>
    <mergeCell ref="B478:C478"/>
    <mergeCell ref="A476:C476"/>
    <mergeCell ref="B480:C480"/>
    <mergeCell ref="B481:C481"/>
    <mergeCell ref="B463:C463"/>
    <mergeCell ref="B464:C464"/>
    <mergeCell ref="B466:C466"/>
    <mergeCell ref="B467:C467"/>
    <mergeCell ref="B468:C468"/>
    <mergeCell ref="A462:C462"/>
    <mergeCell ref="B469:C469"/>
    <mergeCell ref="B470:C470"/>
    <mergeCell ref="B471:C471"/>
    <mergeCell ref="B454:C454"/>
    <mergeCell ref="B455:C455"/>
    <mergeCell ref="B456:C456"/>
    <mergeCell ref="B457:C457"/>
    <mergeCell ref="A448:C448"/>
    <mergeCell ref="B458:C458"/>
    <mergeCell ref="B459:C459"/>
    <mergeCell ref="B460:C460"/>
    <mergeCell ref="B461:C461"/>
    <mergeCell ref="B443:C443"/>
    <mergeCell ref="B444:C444"/>
    <mergeCell ref="B445:C445"/>
    <mergeCell ref="B446:C446"/>
    <mergeCell ref="B447:C447"/>
    <mergeCell ref="B449:C449"/>
    <mergeCell ref="B450:C450"/>
    <mergeCell ref="B452:C452"/>
    <mergeCell ref="B453:C453"/>
    <mergeCell ref="B433:C433"/>
    <mergeCell ref="B435:C435"/>
    <mergeCell ref="B436:C436"/>
    <mergeCell ref="A434:C434"/>
    <mergeCell ref="B438:C438"/>
    <mergeCell ref="B439:C439"/>
    <mergeCell ref="B440:C440"/>
    <mergeCell ref="B441:C441"/>
    <mergeCell ref="B442:C442"/>
    <mergeCell ref="B404:C404"/>
    <mergeCell ref="B12:C12"/>
    <mergeCell ref="B380:C380"/>
    <mergeCell ref="B382:C382"/>
    <mergeCell ref="A302:C303"/>
    <mergeCell ref="A304:C304"/>
    <mergeCell ref="A308:C308"/>
    <mergeCell ref="B137:C137"/>
    <mergeCell ref="B130:C130"/>
    <mergeCell ref="B144:C144"/>
    <mergeCell ref="B151:C151"/>
    <mergeCell ref="B158:C158"/>
    <mergeCell ref="B165:C165"/>
    <mergeCell ref="B172:C172"/>
    <mergeCell ref="B179:C179"/>
    <mergeCell ref="B186:C186"/>
    <mergeCell ref="B188:C188"/>
    <mergeCell ref="B183:C183"/>
    <mergeCell ref="B195:C195"/>
    <mergeCell ref="B219:C219"/>
    <mergeCell ref="B231:C231"/>
    <mergeCell ref="B193:C193"/>
    <mergeCell ref="B58:C58"/>
    <mergeCell ref="B306:C306"/>
    <mergeCell ref="B225:C225"/>
    <mergeCell ref="B393:C393"/>
    <mergeCell ref="B394:C394"/>
    <mergeCell ref="B398:C398"/>
    <mergeCell ref="B399:C399"/>
    <mergeCell ref="B400:C400"/>
    <mergeCell ref="B401:C401"/>
    <mergeCell ref="B402:C402"/>
    <mergeCell ref="B403:C403"/>
    <mergeCell ref="B310:C310"/>
    <mergeCell ref="B307:C307"/>
    <mergeCell ref="B348:C348"/>
    <mergeCell ref="B347:C347"/>
    <mergeCell ref="B391:C391"/>
    <mergeCell ref="B387:C387"/>
    <mergeCell ref="B386:C386"/>
    <mergeCell ref="B388:C388"/>
    <mergeCell ref="B390:C390"/>
    <mergeCell ref="B389:C389"/>
    <mergeCell ref="B396:C396"/>
    <mergeCell ref="B397:C397"/>
    <mergeCell ref="A392:C392"/>
    <mergeCell ref="B383:C383"/>
    <mergeCell ref="A230:C230"/>
    <mergeCell ref="B924:C924"/>
    <mergeCell ref="B925:C925"/>
    <mergeCell ref="B926:C926"/>
    <mergeCell ref="B927:C927"/>
    <mergeCell ref="B928:C928"/>
    <mergeCell ref="B929:C929"/>
    <mergeCell ref="B930:C930"/>
    <mergeCell ref="B931:C931"/>
    <mergeCell ref="B932:C932"/>
    <mergeCell ref="B933:C933"/>
    <mergeCell ref="A1065:C1066"/>
    <mergeCell ref="A934:C934"/>
    <mergeCell ref="B935:C935"/>
    <mergeCell ref="B936:C936"/>
    <mergeCell ref="B937:C937"/>
    <mergeCell ref="B938:C938"/>
    <mergeCell ref="B939:C939"/>
    <mergeCell ref="B940:C940"/>
    <mergeCell ref="B941:C941"/>
    <mergeCell ref="B942:C942"/>
    <mergeCell ref="B943:C943"/>
    <mergeCell ref="B944:C944"/>
    <mergeCell ref="A945:C945"/>
    <mergeCell ref="B946:C946"/>
    <mergeCell ref="B947:C947"/>
    <mergeCell ref="B948:C948"/>
    <mergeCell ref="B949:C949"/>
    <mergeCell ref="B950:C950"/>
    <mergeCell ref="B951:C951"/>
    <mergeCell ref="B952:C952"/>
    <mergeCell ref="B953:C953"/>
    <mergeCell ref="B954:C954"/>
    <mergeCell ref="B955:C955"/>
    <mergeCell ref="B405:C405"/>
    <mergeCell ref="B178:C178"/>
    <mergeCell ref="B116:C116"/>
    <mergeCell ref="B123:C123"/>
    <mergeCell ref="B379:C379"/>
    <mergeCell ref="B226:C226"/>
    <mergeCell ref="B227:C227"/>
    <mergeCell ref="B229:C229"/>
    <mergeCell ref="B237:C237"/>
    <mergeCell ref="B238:C238"/>
    <mergeCell ref="B239:C239"/>
    <mergeCell ref="A124:C124"/>
    <mergeCell ref="A138:C138"/>
    <mergeCell ref="A152:C152"/>
    <mergeCell ref="A166:C166"/>
    <mergeCell ref="B145:C145"/>
    <mergeCell ref="B169:C169"/>
    <mergeCell ref="B187:C187"/>
    <mergeCell ref="B154:C154"/>
    <mergeCell ref="B155:C155"/>
    <mergeCell ref="B200:C200"/>
    <mergeCell ref="B156:C156"/>
    <mergeCell ref="B167:C167"/>
    <mergeCell ref="B168:C168"/>
    <mergeCell ref="B432:C432"/>
    <mergeCell ref="B146:C146"/>
    <mergeCell ref="B159:C159"/>
    <mergeCell ref="B681:C681"/>
    <mergeCell ref="B682:C682"/>
    <mergeCell ref="B683:C683"/>
    <mergeCell ref="B147:C147"/>
    <mergeCell ref="A41:C41"/>
    <mergeCell ref="B42:C42"/>
    <mergeCell ref="B43:C43"/>
    <mergeCell ref="B119:C119"/>
    <mergeCell ref="B120:C120"/>
    <mergeCell ref="B121:C121"/>
    <mergeCell ref="B122:C122"/>
    <mergeCell ref="B45:C45"/>
    <mergeCell ref="B46:C46"/>
    <mergeCell ref="B49:C49"/>
    <mergeCell ref="A50:C50"/>
    <mergeCell ref="B51:C51"/>
    <mergeCell ref="B52:C52"/>
    <mergeCell ref="B54:C54"/>
    <mergeCell ref="B55:C55"/>
    <mergeCell ref="B136:C136"/>
    <mergeCell ref="B153:C153"/>
    <mergeCell ref="B148:C148"/>
    <mergeCell ref="B149:C149"/>
    <mergeCell ref="B150:C150"/>
    <mergeCell ref="B164:C164"/>
    <mergeCell ref="B162:C162"/>
    <mergeCell ref="B163:C163"/>
    <mergeCell ref="B161:C161"/>
    <mergeCell ref="B160:C160"/>
    <mergeCell ref="B67:C67"/>
    <mergeCell ref="B111:C111"/>
    <mergeCell ref="B112:C112"/>
    <mergeCell ref="B140:C140"/>
    <mergeCell ref="B141:C141"/>
    <mergeCell ref="B142:C142"/>
    <mergeCell ref="B134:C134"/>
    <mergeCell ref="B135:C135"/>
    <mergeCell ref="B125:C125"/>
    <mergeCell ref="B126:C126"/>
    <mergeCell ref="A97:C98"/>
    <mergeCell ref="B118:C118"/>
    <mergeCell ref="B131:C131"/>
    <mergeCell ref="B132:C132"/>
    <mergeCell ref="A105:C106"/>
    <mergeCell ref="A108:C109"/>
    <mergeCell ref="A110:C110"/>
    <mergeCell ref="B133:C133"/>
    <mergeCell ref="A101:C102"/>
    <mergeCell ref="A68:C69"/>
    <mergeCell ref="A71:C72"/>
    <mergeCell ref="A78:C79"/>
    <mergeCell ref="A84:C85"/>
    <mergeCell ref="A91:C92"/>
    <mergeCell ref="B11:C11"/>
    <mergeCell ref="B65:C65"/>
    <mergeCell ref="B66:C66"/>
    <mergeCell ref="B113:C113"/>
    <mergeCell ref="B114:C114"/>
    <mergeCell ref="B127:C127"/>
    <mergeCell ref="B128:C128"/>
    <mergeCell ref="B61:C61"/>
    <mergeCell ref="B63:C63"/>
    <mergeCell ref="B64:C64"/>
    <mergeCell ref="A1:A2"/>
    <mergeCell ref="B1:B2"/>
    <mergeCell ref="C1:C2"/>
    <mergeCell ref="B34:C34"/>
    <mergeCell ref="B36:C36"/>
    <mergeCell ref="B47:C47"/>
    <mergeCell ref="B48:C48"/>
    <mergeCell ref="B56:C56"/>
    <mergeCell ref="B57:C57"/>
    <mergeCell ref="B3:C3"/>
    <mergeCell ref="B139:C139"/>
    <mergeCell ref="A59:C59"/>
    <mergeCell ref="A194:C194"/>
    <mergeCell ref="B60:C60"/>
    <mergeCell ref="A1095:C1095"/>
    <mergeCell ref="A1041:C1041"/>
    <mergeCell ref="A1047:C1047"/>
    <mergeCell ref="A1053:C1053"/>
    <mergeCell ref="A1059:C1059"/>
    <mergeCell ref="A655:C655"/>
    <mergeCell ref="A640:C640"/>
    <mergeCell ref="A346:C346"/>
    <mergeCell ref="A921:C922"/>
    <mergeCell ref="A923:C923"/>
    <mergeCell ref="A1033:C1034"/>
    <mergeCell ref="A744:C744"/>
    <mergeCell ref="A752:C753"/>
    <mergeCell ref="A754:C754"/>
    <mergeCell ref="A595:C595"/>
    <mergeCell ref="B596:C596"/>
    <mergeCell ref="A720:C720"/>
    <mergeCell ref="A736:C736"/>
    <mergeCell ref="A728:C728"/>
    <mergeCell ref="B673:C673"/>
    <mergeCell ref="A406:C406"/>
    <mergeCell ref="B690:C690"/>
    <mergeCell ref="B691:C691"/>
    <mergeCell ref="B692:C692"/>
    <mergeCell ref="B407:C407"/>
    <mergeCell ref="B408:C408"/>
    <mergeCell ref="B410:C410"/>
    <mergeCell ref="B411:C411"/>
    <mergeCell ref="B412:C412"/>
    <mergeCell ref="B413:C413"/>
    <mergeCell ref="B414:C414"/>
    <mergeCell ref="B415:C415"/>
    <mergeCell ref="B537:C537"/>
    <mergeCell ref="B416:C416"/>
    <mergeCell ref="B417:C417"/>
    <mergeCell ref="B418:C418"/>
    <mergeCell ref="B419:C419"/>
    <mergeCell ref="B421:C421"/>
    <mergeCell ref="B422:C422"/>
    <mergeCell ref="B424:C424"/>
    <mergeCell ref="B425:C425"/>
    <mergeCell ref="B426:C426"/>
    <mergeCell ref="A420:C420"/>
    <mergeCell ref="B427:C427"/>
    <mergeCell ref="B428:C428"/>
    <mergeCell ref="B429:C429"/>
    <mergeCell ref="B430:C430"/>
    <mergeCell ref="B431:C431"/>
    <mergeCell ref="A30:C31"/>
    <mergeCell ref="A32:C32"/>
    <mergeCell ref="B33:C33"/>
    <mergeCell ref="B37:C37"/>
    <mergeCell ref="B38:C38"/>
    <mergeCell ref="B39:C39"/>
    <mergeCell ref="B40:C40"/>
    <mergeCell ref="B197:C197"/>
    <mergeCell ref="B198:C198"/>
    <mergeCell ref="B209:C209"/>
    <mergeCell ref="B210:C210"/>
    <mergeCell ref="B221:C221"/>
    <mergeCell ref="A206:C206"/>
    <mergeCell ref="A218:C218"/>
    <mergeCell ref="B207:C207"/>
    <mergeCell ref="B212:C212"/>
    <mergeCell ref="B214:C214"/>
    <mergeCell ref="B173:C173"/>
    <mergeCell ref="B174:C174"/>
    <mergeCell ref="B384:C384"/>
    <mergeCell ref="B385:C385"/>
    <mergeCell ref="B117:C117"/>
    <mergeCell ref="B697:C697"/>
    <mergeCell ref="B698:C698"/>
    <mergeCell ref="B699:C699"/>
    <mergeCell ref="B700:C700"/>
    <mergeCell ref="B701:C701"/>
    <mergeCell ref="B702:C702"/>
    <mergeCell ref="B703:C703"/>
    <mergeCell ref="B236:C236"/>
    <mergeCell ref="B185:C185"/>
    <mergeCell ref="B305:C305"/>
    <mergeCell ref="B201:C201"/>
    <mergeCell ref="B203:C203"/>
    <mergeCell ref="B228:C228"/>
    <mergeCell ref="B240:C240"/>
    <mergeCell ref="A376:C377"/>
    <mergeCell ref="A378:C378"/>
    <mergeCell ref="B233:C233"/>
    <mergeCell ref="B234:C234"/>
    <mergeCell ref="B175:C175"/>
    <mergeCell ref="B176:C176"/>
    <mergeCell ref="B170:C170"/>
    <mergeCell ref="B177:C177"/>
    <mergeCell ref="B706:C706"/>
    <mergeCell ref="B718:C718"/>
    <mergeCell ref="B719:C719"/>
    <mergeCell ref="B721:C721"/>
    <mergeCell ref="B722:C722"/>
    <mergeCell ref="B745:C745"/>
    <mergeCell ref="B746:C746"/>
    <mergeCell ref="B747:C747"/>
    <mergeCell ref="B727:C727"/>
    <mergeCell ref="B729:C729"/>
    <mergeCell ref="B730:C730"/>
    <mergeCell ref="B731:C731"/>
    <mergeCell ref="B732:C732"/>
    <mergeCell ref="B733:C733"/>
    <mergeCell ref="B734:C734"/>
    <mergeCell ref="B735:C735"/>
    <mergeCell ref="B737:C737"/>
    <mergeCell ref="B738:C738"/>
    <mergeCell ref="B739:C739"/>
    <mergeCell ref="B740:C740"/>
    <mergeCell ref="B741:C741"/>
    <mergeCell ref="B742:C742"/>
    <mergeCell ref="B743:C743"/>
    <mergeCell ref="B723:C723"/>
    <mergeCell ref="A774:C774"/>
    <mergeCell ref="B775:C775"/>
    <mergeCell ref="B776:C776"/>
    <mergeCell ref="B777:C777"/>
    <mergeCell ref="B748:C748"/>
    <mergeCell ref="B749:C749"/>
    <mergeCell ref="B750:C750"/>
    <mergeCell ref="B751:C751"/>
    <mergeCell ref="B755:C755"/>
    <mergeCell ref="B756:C756"/>
    <mergeCell ref="B757:C757"/>
    <mergeCell ref="A764:C764"/>
    <mergeCell ref="B765:C765"/>
    <mergeCell ref="B766:C766"/>
    <mergeCell ref="B767:C767"/>
    <mergeCell ref="B724:C724"/>
    <mergeCell ref="B725:C725"/>
    <mergeCell ref="B726:C726"/>
    <mergeCell ref="B707:C707"/>
    <mergeCell ref="B708:C708"/>
    <mergeCell ref="B709:C709"/>
    <mergeCell ref="B710:C710"/>
    <mergeCell ref="B711:C711"/>
    <mergeCell ref="B713:C713"/>
    <mergeCell ref="B714:C714"/>
    <mergeCell ref="B715:C715"/>
    <mergeCell ref="B716:C716"/>
    <mergeCell ref="A712:C712"/>
    <mergeCell ref="B717:C717"/>
    <mergeCell ref="B241:C241"/>
    <mergeCell ref="A349:C349"/>
    <mergeCell ref="B350:C350"/>
    <mergeCell ref="B351:C351"/>
    <mergeCell ref="B189:C189"/>
    <mergeCell ref="A344:C345"/>
    <mergeCell ref="B235:C235"/>
    <mergeCell ref="A180:C181"/>
    <mergeCell ref="A182:C182"/>
    <mergeCell ref="B211:C211"/>
    <mergeCell ref="B223:C223"/>
    <mergeCell ref="B205:C205"/>
    <mergeCell ref="B222:C222"/>
    <mergeCell ref="B224:C224"/>
    <mergeCell ref="B190:C190"/>
    <mergeCell ref="B199:C199"/>
    <mergeCell ref="B202:C202"/>
    <mergeCell ref="B213:C213"/>
    <mergeCell ref="B215:C215"/>
    <mergeCell ref="B217:C217"/>
    <mergeCell ref="B191:C191"/>
    <mergeCell ref="B192:C192"/>
    <mergeCell ref="B204:C204"/>
    <mergeCell ref="B216:C216"/>
    <mergeCell ref="B371:C371"/>
    <mergeCell ref="B372:C372"/>
    <mergeCell ref="A352:C352"/>
    <mergeCell ref="B353:C353"/>
    <mergeCell ref="B354:C354"/>
    <mergeCell ref="A355:C355"/>
    <mergeCell ref="A358:C358"/>
    <mergeCell ref="A361:C361"/>
    <mergeCell ref="A364:C364"/>
    <mergeCell ref="A367:C367"/>
    <mergeCell ref="A370:C370"/>
    <mergeCell ref="B374:C374"/>
    <mergeCell ref="B375:C375"/>
    <mergeCell ref="A242:C242"/>
    <mergeCell ref="B243:C243"/>
    <mergeCell ref="B245:C245"/>
    <mergeCell ref="B246:C246"/>
    <mergeCell ref="B247:C247"/>
    <mergeCell ref="B248:C248"/>
    <mergeCell ref="B249:C249"/>
    <mergeCell ref="B250:C250"/>
    <mergeCell ref="B251:C251"/>
    <mergeCell ref="B252:C252"/>
    <mergeCell ref="B253:C253"/>
    <mergeCell ref="A373:C373"/>
    <mergeCell ref="B356:C356"/>
    <mergeCell ref="B357:C357"/>
    <mergeCell ref="B359:C359"/>
    <mergeCell ref="B360:C360"/>
    <mergeCell ref="B362:C362"/>
    <mergeCell ref="B363:C363"/>
    <mergeCell ref="B365:C365"/>
    <mergeCell ref="B366:C366"/>
    <mergeCell ref="B368:C368"/>
    <mergeCell ref="B369:C369"/>
    <mergeCell ref="A956:C956"/>
    <mergeCell ref="B957:C957"/>
    <mergeCell ref="B958:C958"/>
    <mergeCell ref="B959:C959"/>
    <mergeCell ref="B960:C960"/>
    <mergeCell ref="B961:C961"/>
    <mergeCell ref="B962:C962"/>
    <mergeCell ref="B963:C963"/>
    <mergeCell ref="B964:C964"/>
    <mergeCell ref="B965:C965"/>
    <mergeCell ref="B966:C966"/>
    <mergeCell ref="A967:C967"/>
    <mergeCell ref="B968:C968"/>
    <mergeCell ref="B969:C969"/>
    <mergeCell ref="B970:C970"/>
    <mergeCell ref="B971:C971"/>
    <mergeCell ref="B972:C972"/>
    <mergeCell ref="B973:C973"/>
    <mergeCell ref="B983:C983"/>
    <mergeCell ref="B984:C984"/>
    <mergeCell ref="B985:C985"/>
    <mergeCell ref="B986:C986"/>
    <mergeCell ref="B987:C987"/>
    <mergeCell ref="B988:C988"/>
    <mergeCell ref="A989:C989"/>
    <mergeCell ref="B990:C990"/>
    <mergeCell ref="B974:C974"/>
    <mergeCell ref="B975:C975"/>
    <mergeCell ref="B976:C976"/>
    <mergeCell ref="B977:C977"/>
    <mergeCell ref="A978:C978"/>
    <mergeCell ref="B979:C979"/>
    <mergeCell ref="B980:C980"/>
    <mergeCell ref="B981:C981"/>
    <mergeCell ref="B982:C982"/>
    <mergeCell ref="B991:C991"/>
    <mergeCell ref="B992:C992"/>
    <mergeCell ref="B993:C993"/>
    <mergeCell ref="B994:C994"/>
    <mergeCell ref="B995:C995"/>
    <mergeCell ref="B996:C996"/>
    <mergeCell ref="B997:C997"/>
    <mergeCell ref="B998:C998"/>
    <mergeCell ref="B999:C999"/>
    <mergeCell ref="B1020:C1020"/>
    <mergeCell ref="A1000:C1000"/>
    <mergeCell ref="A1011:C1011"/>
    <mergeCell ref="B1001:C1001"/>
    <mergeCell ref="B1002:C1002"/>
    <mergeCell ref="B1003:C1003"/>
    <mergeCell ref="B1004:C1004"/>
    <mergeCell ref="B1005:C1005"/>
    <mergeCell ref="B1006:C1006"/>
    <mergeCell ref="B1007:C1007"/>
    <mergeCell ref="B1008:C1008"/>
    <mergeCell ref="B1009:C1009"/>
    <mergeCell ref="B1010:C1010"/>
    <mergeCell ref="B1030:C1030"/>
    <mergeCell ref="B1031:C1031"/>
    <mergeCell ref="B1032:C1032"/>
    <mergeCell ref="B35:D35"/>
    <mergeCell ref="B44:D44"/>
    <mergeCell ref="B53:D53"/>
    <mergeCell ref="B62:D62"/>
    <mergeCell ref="B1021:C1021"/>
    <mergeCell ref="A1022:C1022"/>
    <mergeCell ref="B1023:C1023"/>
    <mergeCell ref="B1024:C1024"/>
    <mergeCell ref="B1025:C1025"/>
    <mergeCell ref="B1026:C1026"/>
    <mergeCell ref="B1027:C1027"/>
    <mergeCell ref="B1028:C1028"/>
    <mergeCell ref="B1029:C1029"/>
    <mergeCell ref="B1012:C1012"/>
    <mergeCell ref="B1013:C1013"/>
    <mergeCell ref="B1014:C1014"/>
    <mergeCell ref="B1015:C1015"/>
    <mergeCell ref="B1016:C1016"/>
    <mergeCell ref="B1017:C1017"/>
    <mergeCell ref="B1018:C1018"/>
    <mergeCell ref="B1019:C1019"/>
  </mergeCells>
  <phoneticPr fontId="14" type="noConversion"/>
  <conditionalFormatting sqref="B6:B8">
    <cfRule type="containsBlanks" dxfId="586" priority="1729">
      <formula>LEN(TRIM(B6))=0</formula>
    </cfRule>
  </conditionalFormatting>
  <conditionalFormatting sqref="C6:C8">
    <cfRule type="containsBlanks" dxfId="585" priority="1728">
      <formula>LEN(TRIM(C6))=0</formula>
    </cfRule>
  </conditionalFormatting>
  <conditionalFormatting sqref="B9">
    <cfRule type="containsBlanks" dxfId="584" priority="1727">
      <formula>LEN(TRIM(B9))=0</formula>
    </cfRule>
  </conditionalFormatting>
  <conditionalFormatting sqref="C9">
    <cfRule type="containsBlanks" dxfId="583" priority="1726">
      <formula>LEN(TRIM(C9))=0</formula>
    </cfRule>
  </conditionalFormatting>
  <conditionalFormatting sqref="B11:B23">
    <cfRule type="containsBlanks" dxfId="582" priority="1661">
      <formula>LEN(TRIM(B11))=0</formula>
    </cfRule>
  </conditionalFormatting>
  <conditionalFormatting sqref="C13">
    <cfRule type="containsBlanks" dxfId="581" priority="1394">
      <formula>LEN(TRIM(C13))=0</formula>
    </cfRule>
  </conditionalFormatting>
  <conditionalFormatting sqref="C15:C21">
    <cfRule type="containsBlanks" dxfId="580" priority="1393">
      <formula>LEN(TRIM(C15))=0</formula>
    </cfRule>
  </conditionalFormatting>
  <conditionalFormatting sqref="C22:C23">
    <cfRule type="containsBlanks" dxfId="579" priority="1390">
      <formula>LEN(TRIM(C22))=0</formula>
    </cfRule>
  </conditionalFormatting>
  <conditionalFormatting sqref="C73:C75">
    <cfRule type="containsBlanks" dxfId="578" priority="1374">
      <formula>LEN(TRIM(C73))=0</formula>
    </cfRule>
  </conditionalFormatting>
  <conditionalFormatting sqref="B81:C83">
    <cfRule type="containsBlanks" dxfId="577" priority="1368">
      <formula>LEN(TRIM(B81))=0</formula>
    </cfRule>
  </conditionalFormatting>
  <conditionalFormatting sqref="B94:C96">
    <cfRule type="containsBlanks" dxfId="576" priority="1366">
      <formula>LEN(TRIM(B94))=0</formula>
    </cfRule>
  </conditionalFormatting>
  <conditionalFormatting sqref="B107:C107">
    <cfRule type="containsBlanks" dxfId="575" priority="1362">
      <formula>LEN(TRIM(B107))=0</formula>
    </cfRule>
  </conditionalFormatting>
  <conditionalFormatting sqref="B111:B112">
    <cfRule type="containsBlanks" dxfId="574" priority="1360">
      <formula>LEN(TRIM(B111))=0</formula>
    </cfRule>
  </conditionalFormatting>
  <conditionalFormatting sqref="B33">
    <cfRule type="containsBlanks" dxfId="573" priority="1355">
      <formula>LEN(TRIM(B33))=0</formula>
    </cfRule>
  </conditionalFormatting>
  <conditionalFormatting sqref="B34:B37">
    <cfRule type="containsBlanks" dxfId="572" priority="1354">
      <formula>LEN(TRIM(B34))=0</formula>
    </cfRule>
  </conditionalFormatting>
  <conditionalFormatting sqref="B38:B40">
    <cfRule type="containsBlanks" dxfId="571" priority="1353">
      <formula>LEN(TRIM(B38))=0</formula>
    </cfRule>
  </conditionalFormatting>
  <conditionalFormatting sqref="B70:C70">
    <cfRule type="containsBlanks" dxfId="570" priority="1348">
      <formula>LEN(TRIM(B70))=0</formula>
    </cfRule>
  </conditionalFormatting>
  <conditionalFormatting sqref="B115">
    <cfRule type="containsBlanks" dxfId="569" priority="1346">
      <formula>LEN(TRIM(B115))=0</formula>
    </cfRule>
  </conditionalFormatting>
  <conditionalFormatting sqref="C115">
    <cfRule type="containsBlanks" dxfId="568" priority="1345">
      <formula>LEN(TRIM(C115))=0</formula>
    </cfRule>
  </conditionalFormatting>
  <conditionalFormatting sqref="B183 B185:B189">
    <cfRule type="containsBlanks" dxfId="567" priority="1328">
      <formula>LEN(TRIM(B183))=0</formula>
    </cfRule>
  </conditionalFormatting>
  <conditionalFormatting sqref="B99">
    <cfRule type="containsBlanks" dxfId="566" priority="1288">
      <formula>LEN(TRIM(B99))=0</formula>
    </cfRule>
  </conditionalFormatting>
  <conditionalFormatting sqref="C99">
    <cfRule type="containsBlanks" dxfId="565" priority="1287">
      <formula>LEN(TRIM(C99))=0</formula>
    </cfRule>
  </conditionalFormatting>
  <conditionalFormatting sqref="B100">
    <cfRule type="containsBlanks" dxfId="564" priority="1286">
      <formula>LEN(TRIM(B100))=0</formula>
    </cfRule>
  </conditionalFormatting>
  <conditionalFormatting sqref="C100">
    <cfRule type="containsBlanks" dxfId="563" priority="1285">
      <formula>LEN(TRIM(C100))=0</formula>
    </cfRule>
  </conditionalFormatting>
  <conditionalFormatting sqref="B190">
    <cfRule type="containsBlanks" dxfId="562" priority="1268">
      <formula>LEN(TRIM(B190))=0</formula>
    </cfRule>
  </conditionalFormatting>
  <conditionalFormatting sqref="B191:B192">
    <cfRule type="containsBlanks" dxfId="561" priority="1267">
      <formula>LEN(TRIM(B191))=0</formula>
    </cfRule>
  </conditionalFormatting>
  <conditionalFormatting sqref="B193">
    <cfRule type="containsBlanks" dxfId="560" priority="1266">
      <formula>LEN(TRIM(B193))=0</formula>
    </cfRule>
  </conditionalFormatting>
  <conditionalFormatting sqref="B381">
    <cfRule type="containsBlanks" dxfId="559" priority="1237">
      <formula>LEN(TRIM(B381))=0</formula>
    </cfRule>
  </conditionalFormatting>
  <conditionalFormatting sqref="C381">
    <cfRule type="containsBlanks" dxfId="558" priority="1236">
      <formula>LEN(TRIM(C381))=0</formula>
    </cfRule>
  </conditionalFormatting>
  <conditionalFormatting sqref="B379:B380">
    <cfRule type="containsBlanks" dxfId="557" priority="1235">
      <formula>LEN(TRIM(B379))=0</formula>
    </cfRule>
  </conditionalFormatting>
  <conditionalFormatting sqref="B382">
    <cfRule type="containsBlanks" dxfId="556" priority="1234">
      <formula>LEN(TRIM(B382))=0</formula>
    </cfRule>
  </conditionalFormatting>
  <conditionalFormatting sqref="B383">
    <cfRule type="containsBlanks" dxfId="555" priority="1233">
      <formula>LEN(TRIM(B383))=0</formula>
    </cfRule>
  </conditionalFormatting>
  <conditionalFormatting sqref="B387:B390">
    <cfRule type="containsBlanks" dxfId="554" priority="1224">
      <formula>LEN(TRIM(B387))=0</formula>
    </cfRule>
  </conditionalFormatting>
  <conditionalFormatting sqref="B386">
    <cfRule type="containsBlanks" dxfId="553" priority="1223">
      <formula>LEN(TRIM(B386))=0</formula>
    </cfRule>
  </conditionalFormatting>
  <conditionalFormatting sqref="B521:B523">
    <cfRule type="containsBlanks" dxfId="552" priority="1104">
      <formula>LEN(TRIM(B521))=0</formula>
    </cfRule>
  </conditionalFormatting>
  <conditionalFormatting sqref="B524">
    <cfRule type="containsBlanks" dxfId="551" priority="1103">
      <formula>LEN(TRIM(B524))=0</formula>
    </cfRule>
  </conditionalFormatting>
  <conditionalFormatting sqref="B525">
    <cfRule type="containsBlanks" dxfId="550" priority="1102">
      <formula>LEN(TRIM(B525))=0</formula>
    </cfRule>
  </conditionalFormatting>
  <conditionalFormatting sqref="B526">
    <cfRule type="containsBlanks" dxfId="549" priority="1101">
      <formula>LEN(TRIM(B526))=0</formula>
    </cfRule>
  </conditionalFormatting>
  <conditionalFormatting sqref="B527:B534">
    <cfRule type="containsBlanks" dxfId="548" priority="1100">
      <formula>LEN(TRIM(B527))=0</formula>
    </cfRule>
  </conditionalFormatting>
  <conditionalFormatting sqref="B673:B679">
    <cfRule type="containsBlanks" dxfId="547" priority="1044">
      <formula>LEN(TRIM(B673))=0</formula>
    </cfRule>
  </conditionalFormatting>
  <conditionalFormatting sqref="B305:B306">
    <cfRule type="containsBlanks" dxfId="546" priority="1019">
      <formula>LEN(TRIM(B305))=0</formula>
    </cfRule>
  </conditionalFormatting>
  <conditionalFormatting sqref="B307">
    <cfRule type="containsBlanks" dxfId="545" priority="1018">
      <formula>LEN(TRIM(B307))=0</formula>
    </cfRule>
  </conditionalFormatting>
  <conditionalFormatting sqref="B309">
    <cfRule type="containsBlanks" dxfId="544" priority="1017">
      <formula>LEN(TRIM(B309))=0</formula>
    </cfRule>
  </conditionalFormatting>
  <conditionalFormatting sqref="B311 B315 B319 B323 B327 B331 B335 B339 B343">
    <cfRule type="containsBlanks" dxfId="543" priority="1016">
      <formula>LEN(TRIM(B311))=0</formula>
    </cfRule>
  </conditionalFormatting>
  <conditionalFormatting sqref="B104:C104">
    <cfRule type="containsBlanks" dxfId="542" priority="1013">
      <formula>LEN(TRIM(B104))=0</formula>
    </cfRule>
  </conditionalFormatting>
  <conditionalFormatting sqref="B1036:B1040">
    <cfRule type="containsBlanks" dxfId="541" priority="1011">
      <formula>LEN(TRIM(B1036))=0</formula>
    </cfRule>
  </conditionalFormatting>
  <conditionalFormatting sqref="C1036:C1040">
    <cfRule type="containsBlanks" dxfId="540" priority="1010">
      <formula>LEN(TRIM(C1036))=0</formula>
    </cfRule>
  </conditionalFormatting>
  <conditionalFormatting sqref="B1042">
    <cfRule type="containsBlanks" dxfId="539" priority="1009">
      <formula>LEN(TRIM(B1042))=0</formula>
    </cfRule>
  </conditionalFormatting>
  <conditionalFormatting sqref="C1042">
    <cfRule type="containsBlanks" dxfId="538" priority="1008">
      <formula>LEN(TRIM(C1042))=0</formula>
    </cfRule>
  </conditionalFormatting>
  <conditionalFormatting sqref="B1043">
    <cfRule type="containsBlanks" dxfId="537" priority="1007">
      <formula>LEN(TRIM(B1043))=0</formula>
    </cfRule>
  </conditionalFormatting>
  <conditionalFormatting sqref="C1043">
    <cfRule type="containsBlanks" dxfId="536" priority="1006">
      <formula>LEN(TRIM(C1043))=0</formula>
    </cfRule>
  </conditionalFormatting>
  <conditionalFormatting sqref="B1044">
    <cfRule type="containsBlanks" dxfId="535" priority="1005">
      <formula>LEN(TRIM(B1044))=0</formula>
    </cfRule>
  </conditionalFormatting>
  <conditionalFormatting sqref="C1044">
    <cfRule type="containsBlanks" dxfId="534" priority="1004">
      <formula>LEN(TRIM(C1044))=0</formula>
    </cfRule>
  </conditionalFormatting>
  <conditionalFormatting sqref="B1045">
    <cfRule type="containsBlanks" dxfId="533" priority="1003">
      <formula>LEN(TRIM(B1045))=0</formula>
    </cfRule>
  </conditionalFormatting>
  <conditionalFormatting sqref="C1045">
    <cfRule type="containsBlanks" dxfId="532" priority="1002">
      <formula>LEN(TRIM(C1045))=0</formula>
    </cfRule>
  </conditionalFormatting>
  <conditionalFormatting sqref="B1046">
    <cfRule type="containsBlanks" dxfId="531" priority="1001">
      <formula>LEN(TRIM(B1046))=0</formula>
    </cfRule>
  </conditionalFormatting>
  <conditionalFormatting sqref="C1046">
    <cfRule type="containsBlanks" dxfId="530" priority="1000">
      <formula>LEN(TRIM(C1046))=0</formula>
    </cfRule>
  </conditionalFormatting>
  <conditionalFormatting sqref="B1048">
    <cfRule type="containsBlanks" dxfId="529" priority="999">
      <formula>LEN(TRIM(B1048))=0</formula>
    </cfRule>
  </conditionalFormatting>
  <conditionalFormatting sqref="C1048">
    <cfRule type="containsBlanks" dxfId="528" priority="998">
      <formula>LEN(TRIM(C1048))=0</formula>
    </cfRule>
  </conditionalFormatting>
  <conditionalFormatting sqref="B1049">
    <cfRule type="containsBlanks" dxfId="527" priority="997">
      <formula>LEN(TRIM(B1049))=0</formula>
    </cfRule>
  </conditionalFormatting>
  <conditionalFormatting sqref="C1049">
    <cfRule type="containsBlanks" dxfId="526" priority="996">
      <formula>LEN(TRIM(C1049))=0</formula>
    </cfRule>
  </conditionalFormatting>
  <conditionalFormatting sqref="B1050">
    <cfRule type="containsBlanks" dxfId="525" priority="995">
      <formula>LEN(TRIM(B1050))=0</formula>
    </cfRule>
  </conditionalFormatting>
  <conditionalFormatting sqref="C1050">
    <cfRule type="containsBlanks" dxfId="524" priority="994">
      <formula>LEN(TRIM(C1050))=0</formula>
    </cfRule>
  </conditionalFormatting>
  <conditionalFormatting sqref="B1051">
    <cfRule type="containsBlanks" dxfId="523" priority="993">
      <formula>LEN(TRIM(B1051))=0</formula>
    </cfRule>
  </conditionalFormatting>
  <conditionalFormatting sqref="C1051">
    <cfRule type="containsBlanks" dxfId="522" priority="992">
      <formula>LEN(TRIM(C1051))=0</formula>
    </cfRule>
  </conditionalFormatting>
  <conditionalFormatting sqref="B1052">
    <cfRule type="containsBlanks" dxfId="521" priority="991">
      <formula>LEN(TRIM(B1052))=0</formula>
    </cfRule>
  </conditionalFormatting>
  <conditionalFormatting sqref="C1052">
    <cfRule type="containsBlanks" dxfId="520" priority="990">
      <formula>LEN(TRIM(C1052))=0</formula>
    </cfRule>
  </conditionalFormatting>
  <conditionalFormatting sqref="B1054">
    <cfRule type="containsBlanks" dxfId="519" priority="989">
      <formula>LEN(TRIM(B1054))=0</formula>
    </cfRule>
  </conditionalFormatting>
  <conditionalFormatting sqref="C1054">
    <cfRule type="containsBlanks" dxfId="518" priority="988">
      <formula>LEN(TRIM(C1054))=0</formula>
    </cfRule>
  </conditionalFormatting>
  <conditionalFormatting sqref="B1055">
    <cfRule type="containsBlanks" dxfId="517" priority="987">
      <formula>LEN(TRIM(B1055))=0</formula>
    </cfRule>
  </conditionalFormatting>
  <conditionalFormatting sqref="C1055">
    <cfRule type="containsBlanks" dxfId="516" priority="986">
      <formula>LEN(TRIM(C1055))=0</formula>
    </cfRule>
  </conditionalFormatting>
  <conditionalFormatting sqref="B1056">
    <cfRule type="containsBlanks" dxfId="515" priority="985">
      <formula>LEN(TRIM(B1056))=0</formula>
    </cfRule>
  </conditionalFormatting>
  <conditionalFormatting sqref="C1056">
    <cfRule type="containsBlanks" dxfId="514" priority="984">
      <formula>LEN(TRIM(C1056))=0</formula>
    </cfRule>
  </conditionalFormatting>
  <conditionalFormatting sqref="B1057">
    <cfRule type="containsBlanks" dxfId="513" priority="983">
      <formula>LEN(TRIM(B1057))=0</formula>
    </cfRule>
  </conditionalFormatting>
  <conditionalFormatting sqref="C1057">
    <cfRule type="containsBlanks" dxfId="512" priority="982">
      <formula>LEN(TRIM(C1057))=0</formula>
    </cfRule>
  </conditionalFormatting>
  <conditionalFormatting sqref="B1058">
    <cfRule type="containsBlanks" dxfId="511" priority="981">
      <formula>LEN(TRIM(B1058))=0</formula>
    </cfRule>
  </conditionalFormatting>
  <conditionalFormatting sqref="C1058">
    <cfRule type="containsBlanks" dxfId="510" priority="980">
      <formula>LEN(TRIM(C1058))=0</formula>
    </cfRule>
  </conditionalFormatting>
  <conditionalFormatting sqref="B1060">
    <cfRule type="containsBlanks" dxfId="509" priority="979">
      <formula>LEN(TRIM(B1060))=0</formula>
    </cfRule>
  </conditionalFormatting>
  <conditionalFormatting sqref="C1060">
    <cfRule type="containsBlanks" dxfId="508" priority="978">
      <formula>LEN(TRIM(C1060))=0</formula>
    </cfRule>
  </conditionalFormatting>
  <conditionalFormatting sqref="B1061">
    <cfRule type="containsBlanks" dxfId="507" priority="977">
      <formula>LEN(TRIM(B1061))=0</formula>
    </cfRule>
  </conditionalFormatting>
  <conditionalFormatting sqref="C1061">
    <cfRule type="containsBlanks" dxfId="506" priority="976">
      <formula>LEN(TRIM(C1061))=0</formula>
    </cfRule>
  </conditionalFormatting>
  <conditionalFormatting sqref="B1062">
    <cfRule type="containsBlanks" dxfId="505" priority="975">
      <formula>LEN(TRIM(B1062))=0</formula>
    </cfRule>
  </conditionalFormatting>
  <conditionalFormatting sqref="C1062">
    <cfRule type="containsBlanks" dxfId="504" priority="974">
      <formula>LEN(TRIM(C1062))=0</formula>
    </cfRule>
  </conditionalFormatting>
  <conditionalFormatting sqref="B1063">
    <cfRule type="containsBlanks" dxfId="503" priority="973">
      <formula>LEN(TRIM(B1063))=0</formula>
    </cfRule>
  </conditionalFormatting>
  <conditionalFormatting sqref="C1063">
    <cfRule type="containsBlanks" dxfId="502" priority="972">
      <formula>LEN(TRIM(C1063))=0</formula>
    </cfRule>
  </conditionalFormatting>
  <conditionalFormatting sqref="B1064">
    <cfRule type="containsBlanks" dxfId="501" priority="971">
      <formula>LEN(TRIM(B1064))=0</formula>
    </cfRule>
  </conditionalFormatting>
  <conditionalFormatting sqref="C1064">
    <cfRule type="containsBlanks" dxfId="500" priority="970">
      <formula>LEN(TRIM(C1064))=0</formula>
    </cfRule>
  </conditionalFormatting>
  <conditionalFormatting sqref="B1068">
    <cfRule type="containsBlanks" dxfId="499" priority="969">
      <formula>LEN(TRIM(B1068))=0</formula>
    </cfRule>
  </conditionalFormatting>
  <conditionalFormatting sqref="C1068">
    <cfRule type="containsBlanks" dxfId="498" priority="968">
      <formula>LEN(TRIM(C1068))=0</formula>
    </cfRule>
  </conditionalFormatting>
  <conditionalFormatting sqref="B1069">
    <cfRule type="containsBlanks" dxfId="497" priority="967">
      <formula>LEN(TRIM(B1069))=0</formula>
    </cfRule>
  </conditionalFormatting>
  <conditionalFormatting sqref="C1069">
    <cfRule type="containsBlanks" dxfId="496" priority="966">
      <formula>LEN(TRIM(C1069))=0</formula>
    </cfRule>
  </conditionalFormatting>
  <conditionalFormatting sqref="B1070">
    <cfRule type="containsBlanks" dxfId="495" priority="965">
      <formula>LEN(TRIM(B1070))=0</formula>
    </cfRule>
  </conditionalFormatting>
  <conditionalFormatting sqref="C1070">
    <cfRule type="containsBlanks" dxfId="494" priority="964">
      <formula>LEN(TRIM(C1070))=0</formula>
    </cfRule>
  </conditionalFormatting>
  <conditionalFormatting sqref="B1071">
    <cfRule type="containsBlanks" dxfId="493" priority="963">
      <formula>LEN(TRIM(B1071))=0</formula>
    </cfRule>
  </conditionalFormatting>
  <conditionalFormatting sqref="C1071">
    <cfRule type="containsBlanks" dxfId="492" priority="962">
      <formula>LEN(TRIM(C1071))=0</formula>
    </cfRule>
  </conditionalFormatting>
  <conditionalFormatting sqref="B1072">
    <cfRule type="containsBlanks" dxfId="491" priority="961">
      <formula>LEN(TRIM(B1072))=0</formula>
    </cfRule>
  </conditionalFormatting>
  <conditionalFormatting sqref="C1072">
    <cfRule type="containsBlanks" dxfId="490" priority="960">
      <formula>LEN(TRIM(C1072))=0</formula>
    </cfRule>
  </conditionalFormatting>
  <conditionalFormatting sqref="B1073">
    <cfRule type="containsBlanks" dxfId="489" priority="959">
      <formula>LEN(TRIM(B1073))=0</formula>
    </cfRule>
  </conditionalFormatting>
  <conditionalFormatting sqref="C1073">
    <cfRule type="containsBlanks" dxfId="488" priority="958">
      <formula>LEN(TRIM(C1073))=0</formula>
    </cfRule>
  </conditionalFormatting>
  <conditionalFormatting sqref="B1075">
    <cfRule type="containsBlanks" dxfId="487" priority="957">
      <formula>LEN(TRIM(B1075))=0</formula>
    </cfRule>
  </conditionalFormatting>
  <conditionalFormatting sqref="C1075">
    <cfRule type="containsBlanks" dxfId="486" priority="956">
      <formula>LEN(TRIM(C1075))=0</formula>
    </cfRule>
  </conditionalFormatting>
  <conditionalFormatting sqref="B1076">
    <cfRule type="containsBlanks" dxfId="485" priority="955">
      <formula>LEN(TRIM(B1076))=0</formula>
    </cfRule>
  </conditionalFormatting>
  <conditionalFormatting sqref="C1076">
    <cfRule type="containsBlanks" dxfId="484" priority="954">
      <formula>LEN(TRIM(C1076))=0</formula>
    </cfRule>
  </conditionalFormatting>
  <conditionalFormatting sqref="B1077">
    <cfRule type="containsBlanks" dxfId="483" priority="953">
      <formula>LEN(TRIM(B1077))=0</formula>
    </cfRule>
  </conditionalFormatting>
  <conditionalFormatting sqref="C1077">
    <cfRule type="containsBlanks" dxfId="482" priority="952">
      <formula>LEN(TRIM(C1077))=0</formula>
    </cfRule>
  </conditionalFormatting>
  <conditionalFormatting sqref="B1078">
    <cfRule type="containsBlanks" dxfId="481" priority="951">
      <formula>LEN(TRIM(B1078))=0</formula>
    </cfRule>
  </conditionalFormatting>
  <conditionalFormatting sqref="C1078">
    <cfRule type="containsBlanks" dxfId="480" priority="950">
      <formula>LEN(TRIM(C1078))=0</formula>
    </cfRule>
  </conditionalFormatting>
  <conditionalFormatting sqref="B1079">
    <cfRule type="containsBlanks" dxfId="479" priority="949">
      <formula>LEN(TRIM(B1079))=0</formula>
    </cfRule>
  </conditionalFormatting>
  <conditionalFormatting sqref="C1079">
    <cfRule type="containsBlanks" dxfId="478" priority="948">
      <formula>LEN(TRIM(C1079))=0</formula>
    </cfRule>
  </conditionalFormatting>
  <conditionalFormatting sqref="B1080">
    <cfRule type="containsBlanks" dxfId="477" priority="947">
      <formula>LEN(TRIM(B1080))=0</formula>
    </cfRule>
  </conditionalFormatting>
  <conditionalFormatting sqref="C1080">
    <cfRule type="containsBlanks" dxfId="476" priority="946">
      <formula>LEN(TRIM(C1080))=0</formula>
    </cfRule>
  </conditionalFormatting>
  <conditionalFormatting sqref="B1082">
    <cfRule type="containsBlanks" dxfId="475" priority="945">
      <formula>LEN(TRIM(B1082))=0</formula>
    </cfRule>
  </conditionalFormatting>
  <conditionalFormatting sqref="C1082">
    <cfRule type="containsBlanks" dxfId="474" priority="944">
      <formula>LEN(TRIM(C1082))=0</formula>
    </cfRule>
  </conditionalFormatting>
  <conditionalFormatting sqref="B1083">
    <cfRule type="containsBlanks" dxfId="473" priority="943">
      <formula>LEN(TRIM(B1083))=0</formula>
    </cfRule>
  </conditionalFormatting>
  <conditionalFormatting sqref="C1083">
    <cfRule type="containsBlanks" dxfId="472" priority="942">
      <formula>LEN(TRIM(C1083))=0</formula>
    </cfRule>
  </conditionalFormatting>
  <conditionalFormatting sqref="B1084">
    <cfRule type="containsBlanks" dxfId="471" priority="941">
      <formula>LEN(TRIM(B1084))=0</formula>
    </cfRule>
  </conditionalFormatting>
  <conditionalFormatting sqref="C1084">
    <cfRule type="containsBlanks" dxfId="470" priority="940">
      <formula>LEN(TRIM(C1084))=0</formula>
    </cfRule>
  </conditionalFormatting>
  <conditionalFormatting sqref="B1085">
    <cfRule type="containsBlanks" dxfId="469" priority="939">
      <formula>LEN(TRIM(B1085))=0</formula>
    </cfRule>
  </conditionalFormatting>
  <conditionalFormatting sqref="C1085">
    <cfRule type="containsBlanks" dxfId="468" priority="938">
      <formula>LEN(TRIM(C1085))=0</formula>
    </cfRule>
  </conditionalFormatting>
  <conditionalFormatting sqref="B1086">
    <cfRule type="containsBlanks" dxfId="467" priority="937">
      <formula>LEN(TRIM(B1086))=0</formula>
    </cfRule>
  </conditionalFormatting>
  <conditionalFormatting sqref="C1086">
    <cfRule type="containsBlanks" dxfId="466" priority="936">
      <formula>LEN(TRIM(C1086))=0</formula>
    </cfRule>
  </conditionalFormatting>
  <conditionalFormatting sqref="B1087">
    <cfRule type="containsBlanks" dxfId="465" priority="935">
      <formula>LEN(TRIM(B1087))=0</formula>
    </cfRule>
  </conditionalFormatting>
  <conditionalFormatting sqref="C1087">
    <cfRule type="containsBlanks" dxfId="464" priority="934">
      <formula>LEN(TRIM(C1087))=0</formula>
    </cfRule>
  </conditionalFormatting>
  <conditionalFormatting sqref="B1089">
    <cfRule type="containsBlanks" dxfId="463" priority="933">
      <formula>LEN(TRIM(B1089))=0</formula>
    </cfRule>
  </conditionalFormatting>
  <conditionalFormatting sqref="C1089">
    <cfRule type="containsBlanks" dxfId="462" priority="932">
      <formula>LEN(TRIM(C1089))=0</formula>
    </cfRule>
  </conditionalFormatting>
  <conditionalFormatting sqref="B1090">
    <cfRule type="containsBlanks" dxfId="461" priority="931">
      <formula>LEN(TRIM(B1090))=0</formula>
    </cfRule>
  </conditionalFormatting>
  <conditionalFormatting sqref="C1090">
    <cfRule type="containsBlanks" dxfId="460" priority="930">
      <formula>LEN(TRIM(C1090))=0</formula>
    </cfRule>
  </conditionalFormatting>
  <conditionalFormatting sqref="B1091">
    <cfRule type="containsBlanks" dxfId="459" priority="929">
      <formula>LEN(TRIM(B1091))=0</formula>
    </cfRule>
  </conditionalFormatting>
  <conditionalFormatting sqref="C1091">
    <cfRule type="containsBlanks" dxfId="458" priority="928">
      <formula>LEN(TRIM(C1091))=0</formula>
    </cfRule>
  </conditionalFormatting>
  <conditionalFormatting sqref="B1092">
    <cfRule type="containsBlanks" dxfId="457" priority="927">
      <formula>LEN(TRIM(B1092))=0</formula>
    </cfRule>
  </conditionalFormatting>
  <conditionalFormatting sqref="C1092">
    <cfRule type="containsBlanks" dxfId="456" priority="926">
      <formula>LEN(TRIM(C1092))=0</formula>
    </cfRule>
  </conditionalFormatting>
  <conditionalFormatting sqref="B1093">
    <cfRule type="containsBlanks" dxfId="455" priority="925">
      <formula>LEN(TRIM(B1093))=0</formula>
    </cfRule>
  </conditionalFormatting>
  <conditionalFormatting sqref="C1093">
    <cfRule type="containsBlanks" dxfId="454" priority="924">
      <formula>LEN(TRIM(C1093))=0</formula>
    </cfRule>
  </conditionalFormatting>
  <conditionalFormatting sqref="B1094">
    <cfRule type="containsBlanks" dxfId="453" priority="923">
      <formula>LEN(TRIM(B1094))=0</formula>
    </cfRule>
  </conditionalFormatting>
  <conditionalFormatting sqref="C1094">
    <cfRule type="containsBlanks" dxfId="452" priority="922">
      <formula>LEN(TRIM(C1094))=0</formula>
    </cfRule>
  </conditionalFormatting>
  <conditionalFormatting sqref="B1096">
    <cfRule type="containsBlanks" dxfId="451" priority="921">
      <formula>LEN(TRIM(B1096))=0</formula>
    </cfRule>
  </conditionalFormatting>
  <conditionalFormatting sqref="C1096">
    <cfRule type="containsBlanks" dxfId="450" priority="920">
      <formula>LEN(TRIM(C1096))=0</formula>
    </cfRule>
  </conditionalFormatting>
  <conditionalFormatting sqref="B1097">
    <cfRule type="containsBlanks" dxfId="449" priority="919">
      <formula>LEN(TRIM(B1097))=0</formula>
    </cfRule>
  </conditionalFormatting>
  <conditionalFormatting sqref="C1097">
    <cfRule type="containsBlanks" dxfId="448" priority="918">
      <formula>LEN(TRIM(C1097))=0</formula>
    </cfRule>
  </conditionalFormatting>
  <conditionalFormatting sqref="B1098">
    <cfRule type="containsBlanks" dxfId="447" priority="917">
      <formula>LEN(TRIM(B1098))=0</formula>
    </cfRule>
  </conditionalFormatting>
  <conditionalFormatting sqref="C1098">
    <cfRule type="containsBlanks" dxfId="446" priority="916">
      <formula>LEN(TRIM(C1098))=0</formula>
    </cfRule>
  </conditionalFormatting>
  <conditionalFormatting sqref="B1099">
    <cfRule type="containsBlanks" dxfId="445" priority="915">
      <formula>LEN(TRIM(B1099))=0</formula>
    </cfRule>
  </conditionalFormatting>
  <conditionalFormatting sqref="C1099">
    <cfRule type="containsBlanks" dxfId="444" priority="914">
      <formula>LEN(TRIM(C1099))=0</formula>
    </cfRule>
  </conditionalFormatting>
  <conditionalFormatting sqref="B1100">
    <cfRule type="containsBlanks" dxfId="443" priority="913">
      <formula>LEN(TRIM(B1100))=0</formula>
    </cfRule>
  </conditionalFormatting>
  <conditionalFormatting sqref="C1100">
    <cfRule type="containsBlanks" dxfId="442" priority="912">
      <formula>LEN(TRIM(C1100))=0</formula>
    </cfRule>
  </conditionalFormatting>
  <conditionalFormatting sqref="B1101">
    <cfRule type="containsBlanks" dxfId="441" priority="911">
      <formula>LEN(TRIM(B1101))=0</formula>
    </cfRule>
  </conditionalFormatting>
  <conditionalFormatting sqref="C1101">
    <cfRule type="containsBlanks" dxfId="440" priority="910">
      <formula>LEN(TRIM(C1101))=0</formula>
    </cfRule>
  </conditionalFormatting>
  <conditionalFormatting sqref="B351 B354 B357 B360 B363 B366 B369 B372 B375">
    <cfRule type="containsBlanks" dxfId="439" priority="908">
      <formula>LEN(TRIM(B351))=0</formula>
    </cfRule>
  </conditionalFormatting>
  <conditionalFormatting sqref="B347">
    <cfRule type="containsBlanks" dxfId="438" priority="907">
      <formula>LEN(TRIM(B347))=0</formula>
    </cfRule>
  </conditionalFormatting>
  <conditionalFormatting sqref="B350">
    <cfRule type="containsBlanks" dxfId="437" priority="906">
      <formula>LEN(TRIM(B350))=0</formula>
    </cfRule>
  </conditionalFormatting>
  <conditionalFormatting sqref="B927">
    <cfRule type="containsBlanks" dxfId="436" priority="905">
      <formula>LEN(TRIM(B927))=0</formula>
    </cfRule>
  </conditionalFormatting>
  <conditionalFormatting sqref="B931">
    <cfRule type="containsBlanks" dxfId="435" priority="904">
      <formula>LEN(TRIM(B931))=0</formula>
    </cfRule>
  </conditionalFormatting>
  <conditionalFormatting sqref="B932">
    <cfRule type="containsBlanks" dxfId="434" priority="903">
      <formula>LEN(TRIM(B932))=0</formula>
    </cfRule>
  </conditionalFormatting>
  <conditionalFormatting sqref="B924">
    <cfRule type="containsBlanks" dxfId="433" priority="902">
      <formula>LEN(TRIM(B924))=0</formula>
    </cfRule>
  </conditionalFormatting>
  <conditionalFormatting sqref="B925">
    <cfRule type="containsBlanks" dxfId="432" priority="901">
      <formula>LEN(TRIM(B925))=0</formula>
    </cfRule>
  </conditionalFormatting>
  <conditionalFormatting sqref="B926">
    <cfRule type="containsBlanks" dxfId="431" priority="899">
      <formula>LEN(TRIM(B926))=0</formula>
    </cfRule>
  </conditionalFormatting>
  <conditionalFormatting sqref="B928">
    <cfRule type="containsBlanks" dxfId="430" priority="898">
      <formula>LEN(TRIM(B928))=0</formula>
    </cfRule>
  </conditionalFormatting>
  <conditionalFormatting sqref="B929">
    <cfRule type="containsBlanks" dxfId="429" priority="897">
      <formula>LEN(TRIM(B929))=0</formula>
    </cfRule>
  </conditionalFormatting>
  <conditionalFormatting sqref="B930">
    <cfRule type="containsBlanks" dxfId="428" priority="896">
      <formula>LEN(TRIM(B930))=0</formula>
    </cfRule>
  </conditionalFormatting>
  <conditionalFormatting sqref="B933">
    <cfRule type="containsBlanks" dxfId="427" priority="895">
      <formula>LEN(TRIM(B933))=0</formula>
    </cfRule>
  </conditionalFormatting>
  <conditionalFormatting sqref="B26">
    <cfRule type="containsBlanks" dxfId="426" priority="726">
      <formula>LEN(TRIM(B26))=0</formula>
    </cfRule>
  </conditionalFormatting>
  <conditionalFormatting sqref="C26">
    <cfRule type="containsBlanks" dxfId="425" priority="725">
      <formula>LEN(TRIM(C26))=0</formula>
    </cfRule>
  </conditionalFormatting>
  <conditionalFormatting sqref="B130 B133:B137">
    <cfRule type="containsBlanks" dxfId="424" priority="724">
      <formula>LEN(TRIM(B130))=0</formula>
    </cfRule>
  </conditionalFormatting>
  <conditionalFormatting sqref="B125:B128">
    <cfRule type="containsBlanks" dxfId="423" priority="723">
      <formula>LEN(TRIM(B125))=0</formula>
    </cfRule>
  </conditionalFormatting>
  <conditionalFormatting sqref="B129">
    <cfRule type="containsBlanks" dxfId="422" priority="721">
      <formula>LEN(TRIM(B129))=0</formula>
    </cfRule>
  </conditionalFormatting>
  <conditionalFormatting sqref="C129">
    <cfRule type="containsBlanks" dxfId="421" priority="720">
      <formula>LEN(TRIM(C129))=0</formula>
    </cfRule>
  </conditionalFormatting>
  <conditionalFormatting sqref="B144 B147:B151">
    <cfRule type="containsBlanks" dxfId="420" priority="718">
      <formula>LEN(TRIM(B144))=0</formula>
    </cfRule>
  </conditionalFormatting>
  <conditionalFormatting sqref="B139:B142">
    <cfRule type="containsBlanks" dxfId="419" priority="717">
      <formula>LEN(TRIM(B139))=0</formula>
    </cfRule>
  </conditionalFormatting>
  <conditionalFormatting sqref="B143">
    <cfRule type="containsBlanks" dxfId="418" priority="715">
      <formula>LEN(TRIM(B143))=0</formula>
    </cfRule>
  </conditionalFormatting>
  <conditionalFormatting sqref="C143">
    <cfRule type="containsBlanks" dxfId="417" priority="714">
      <formula>LEN(TRIM(C143))=0</formula>
    </cfRule>
  </conditionalFormatting>
  <conditionalFormatting sqref="B158 B161:B165">
    <cfRule type="containsBlanks" dxfId="416" priority="700">
      <formula>LEN(TRIM(B158))=0</formula>
    </cfRule>
  </conditionalFormatting>
  <conditionalFormatting sqref="B153:B156">
    <cfRule type="containsBlanks" dxfId="415" priority="699">
      <formula>LEN(TRIM(B153))=0</formula>
    </cfRule>
  </conditionalFormatting>
  <conditionalFormatting sqref="B157">
    <cfRule type="containsBlanks" dxfId="414" priority="697">
      <formula>LEN(TRIM(B157))=0</formula>
    </cfRule>
  </conditionalFormatting>
  <conditionalFormatting sqref="C157">
    <cfRule type="containsBlanks" dxfId="413" priority="696">
      <formula>LEN(TRIM(C157))=0</formula>
    </cfRule>
  </conditionalFormatting>
  <conditionalFormatting sqref="B172 B175:B179">
    <cfRule type="containsBlanks" dxfId="412" priority="694">
      <formula>LEN(TRIM(B172))=0</formula>
    </cfRule>
  </conditionalFormatting>
  <conditionalFormatting sqref="B167:B170">
    <cfRule type="containsBlanks" dxfId="411" priority="693">
      <formula>LEN(TRIM(B167))=0</formula>
    </cfRule>
  </conditionalFormatting>
  <conditionalFormatting sqref="B171">
    <cfRule type="containsBlanks" dxfId="410" priority="691">
      <formula>LEN(TRIM(B171))=0</formula>
    </cfRule>
  </conditionalFormatting>
  <conditionalFormatting sqref="C171">
    <cfRule type="containsBlanks" dxfId="409" priority="690">
      <formula>LEN(TRIM(C171))=0</formula>
    </cfRule>
  </conditionalFormatting>
  <conditionalFormatting sqref="B184">
    <cfRule type="containsBlanks" dxfId="408" priority="684">
      <formula>LEN(TRIM(B184))=0</formula>
    </cfRule>
  </conditionalFormatting>
  <conditionalFormatting sqref="C184">
    <cfRule type="containsBlanks" dxfId="407" priority="683">
      <formula>LEN(TRIM(C184))=0</formula>
    </cfRule>
  </conditionalFormatting>
  <conditionalFormatting sqref="B195 B197:B201">
    <cfRule type="containsBlanks" dxfId="406" priority="638">
      <formula>LEN(TRIM(B195))=0</formula>
    </cfRule>
  </conditionalFormatting>
  <conditionalFormatting sqref="B196">
    <cfRule type="containsBlanks" dxfId="405" priority="631">
      <formula>LEN(TRIM(B196))=0</formula>
    </cfRule>
  </conditionalFormatting>
  <conditionalFormatting sqref="C196">
    <cfRule type="containsBlanks" dxfId="404" priority="630">
      <formula>LEN(TRIM(C196))=0</formula>
    </cfRule>
  </conditionalFormatting>
  <conditionalFormatting sqref="B207 B209:B213">
    <cfRule type="containsBlanks" dxfId="403" priority="629">
      <formula>LEN(TRIM(B207))=0</formula>
    </cfRule>
  </conditionalFormatting>
  <conditionalFormatting sqref="B214">
    <cfRule type="containsBlanks" dxfId="402" priority="625">
      <formula>LEN(TRIM(B214))=0</formula>
    </cfRule>
  </conditionalFormatting>
  <conditionalFormatting sqref="B215">
    <cfRule type="containsBlanks" dxfId="401" priority="624">
      <formula>LEN(TRIM(B215))=0</formula>
    </cfRule>
  </conditionalFormatting>
  <conditionalFormatting sqref="B217">
    <cfRule type="containsBlanks" dxfId="400" priority="623">
      <formula>LEN(TRIM(B217))=0</formula>
    </cfRule>
  </conditionalFormatting>
  <conditionalFormatting sqref="B208">
    <cfRule type="containsBlanks" dxfId="399" priority="622">
      <formula>LEN(TRIM(B208))=0</formula>
    </cfRule>
  </conditionalFormatting>
  <conditionalFormatting sqref="C208">
    <cfRule type="containsBlanks" dxfId="398" priority="621">
      <formula>LEN(TRIM(C208))=0</formula>
    </cfRule>
  </conditionalFormatting>
  <conditionalFormatting sqref="B219 B221:B225">
    <cfRule type="containsBlanks" dxfId="397" priority="620">
      <formula>LEN(TRIM(B219))=0</formula>
    </cfRule>
  </conditionalFormatting>
  <conditionalFormatting sqref="B226">
    <cfRule type="containsBlanks" dxfId="396" priority="616">
      <formula>LEN(TRIM(B226))=0</formula>
    </cfRule>
  </conditionalFormatting>
  <conditionalFormatting sqref="B227">
    <cfRule type="containsBlanks" dxfId="395" priority="615">
      <formula>LEN(TRIM(B227))=0</formula>
    </cfRule>
  </conditionalFormatting>
  <conditionalFormatting sqref="B229">
    <cfRule type="containsBlanks" dxfId="394" priority="614">
      <formula>LEN(TRIM(B229))=0</formula>
    </cfRule>
  </conditionalFormatting>
  <conditionalFormatting sqref="B220">
    <cfRule type="containsBlanks" dxfId="393" priority="613">
      <formula>LEN(TRIM(B220))=0</formula>
    </cfRule>
  </conditionalFormatting>
  <conditionalFormatting sqref="C220">
    <cfRule type="containsBlanks" dxfId="392" priority="612">
      <formula>LEN(TRIM(C220))=0</formula>
    </cfRule>
  </conditionalFormatting>
  <conditionalFormatting sqref="B231 B233:B237">
    <cfRule type="containsBlanks" dxfId="391" priority="611">
      <formula>LEN(TRIM(B231))=0</formula>
    </cfRule>
  </conditionalFormatting>
  <conditionalFormatting sqref="B238">
    <cfRule type="containsBlanks" dxfId="390" priority="607">
      <formula>LEN(TRIM(B238))=0</formula>
    </cfRule>
  </conditionalFormatting>
  <conditionalFormatting sqref="B239">
    <cfRule type="containsBlanks" dxfId="389" priority="606">
      <formula>LEN(TRIM(B239))=0</formula>
    </cfRule>
  </conditionalFormatting>
  <conditionalFormatting sqref="B241 B253 B265 B277 B289 B301">
    <cfRule type="containsBlanks" dxfId="388" priority="605">
      <formula>LEN(TRIM(B241))=0</formula>
    </cfRule>
  </conditionalFormatting>
  <conditionalFormatting sqref="B232">
    <cfRule type="containsBlanks" dxfId="387" priority="604">
      <formula>LEN(TRIM(B232))=0</formula>
    </cfRule>
  </conditionalFormatting>
  <conditionalFormatting sqref="C232">
    <cfRule type="containsBlanks" dxfId="386" priority="603">
      <formula>LEN(TRIM(C232))=0</formula>
    </cfRule>
  </conditionalFormatting>
  <conditionalFormatting sqref="B681:B687">
    <cfRule type="containsBlanks" dxfId="385" priority="521">
      <formula>LEN(TRIM(B681))=0</formula>
    </cfRule>
  </conditionalFormatting>
  <conditionalFormatting sqref="B690:B695">
    <cfRule type="containsBlanks" dxfId="384" priority="519">
      <formula>LEN(TRIM(B690))=0</formula>
    </cfRule>
  </conditionalFormatting>
  <conditionalFormatting sqref="B698:B703">
    <cfRule type="containsBlanks" dxfId="383" priority="517">
      <formula>LEN(TRIM(B698))=0</formula>
    </cfRule>
  </conditionalFormatting>
  <conditionalFormatting sqref="B706:B711">
    <cfRule type="containsBlanks" dxfId="382" priority="515">
      <formula>LEN(TRIM(B706))=0</formula>
    </cfRule>
  </conditionalFormatting>
  <conditionalFormatting sqref="B714:B719">
    <cfRule type="containsBlanks" dxfId="381" priority="513">
      <formula>LEN(TRIM(B714))=0</formula>
    </cfRule>
  </conditionalFormatting>
  <conditionalFormatting sqref="B722:B727">
    <cfRule type="containsBlanks" dxfId="380" priority="511">
      <formula>LEN(TRIM(B722))=0</formula>
    </cfRule>
  </conditionalFormatting>
  <conditionalFormatting sqref="B730:B735">
    <cfRule type="containsBlanks" dxfId="379" priority="509">
      <formula>LEN(TRIM(B730))=0</formula>
    </cfRule>
  </conditionalFormatting>
  <conditionalFormatting sqref="B738:B743">
    <cfRule type="containsBlanks" dxfId="378" priority="507">
      <formula>LEN(TRIM(B738))=0</formula>
    </cfRule>
  </conditionalFormatting>
  <conditionalFormatting sqref="B746:B751">
    <cfRule type="containsBlanks" dxfId="377" priority="505">
      <formula>LEN(TRIM(B746))=0</formula>
    </cfRule>
  </conditionalFormatting>
  <conditionalFormatting sqref="B938">
    <cfRule type="containsBlanks" dxfId="376" priority="504">
      <formula>LEN(TRIM(B938))=0</formula>
    </cfRule>
  </conditionalFormatting>
  <conditionalFormatting sqref="B942">
    <cfRule type="containsBlanks" dxfId="375" priority="503">
      <formula>LEN(TRIM(B942))=0</formula>
    </cfRule>
  </conditionalFormatting>
  <conditionalFormatting sqref="B943">
    <cfRule type="containsBlanks" dxfId="374" priority="502">
      <formula>LEN(TRIM(B943))=0</formula>
    </cfRule>
  </conditionalFormatting>
  <conditionalFormatting sqref="B935">
    <cfRule type="containsBlanks" dxfId="373" priority="501">
      <formula>LEN(TRIM(B935))=0</formula>
    </cfRule>
  </conditionalFormatting>
  <conditionalFormatting sqref="B936">
    <cfRule type="containsBlanks" dxfId="372" priority="500">
      <formula>LEN(TRIM(B936))=0</formula>
    </cfRule>
  </conditionalFormatting>
  <conditionalFormatting sqref="B937">
    <cfRule type="containsBlanks" dxfId="371" priority="499">
      <formula>LEN(TRIM(B937))=0</formula>
    </cfRule>
  </conditionalFormatting>
  <conditionalFormatting sqref="B939">
    <cfRule type="containsBlanks" dxfId="370" priority="498">
      <formula>LEN(TRIM(B939))=0</formula>
    </cfRule>
  </conditionalFormatting>
  <conditionalFormatting sqref="B940">
    <cfRule type="containsBlanks" dxfId="369" priority="497">
      <formula>LEN(TRIM(B940))=0</formula>
    </cfRule>
  </conditionalFormatting>
  <conditionalFormatting sqref="B941">
    <cfRule type="containsBlanks" dxfId="368" priority="496">
      <formula>LEN(TRIM(B941))=0</formula>
    </cfRule>
  </conditionalFormatting>
  <conditionalFormatting sqref="B944 B955 B966 B977 B988 B999 B1010 B1021 B1032">
    <cfRule type="containsBlanks" dxfId="367" priority="495">
      <formula>LEN(TRIM(B944))=0</formula>
    </cfRule>
  </conditionalFormatting>
  <conditionalFormatting sqref="B3">
    <cfRule type="containsBlanks" dxfId="366" priority="494">
      <formula>LEN(TRIM(B3))=0</formula>
    </cfRule>
  </conditionalFormatting>
  <conditionalFormatting sqref="B131:B132">
    <cfRule type="containsBlanks" dxfId="365" priority="493">
      <formula>LEN(TRIM(B131))=0</formula>
    </cfRule>
  </conditionalFormatting>
  <conditionalFormatting sqref="B145:B146">
    <cfRule type="containsBlanks" dxfId="364" priority="492">
      <formula>LEN(TRIM(B145))=0</formula>
    </cfRule>
  </conditionalFormatting>
  <conditionalFormatting sqref="B159:B160">
    <cfRule type="containsBlanks" dxfId="363" priority="491">
      <formula>LEN(TRIM(B159))=0</formula>
    </cfRule>
  </conditionalFormatting>
  <conditionalFormatting sqref="B173:B174">
    <cfRule type="containsBlanks" dxfId="362" priority="490">
      <formula>LEN(TRIM(B173))=0</formula>
    </cfRule>
  </conditionalFormatting>
  <conditionalFormatting sqref="B384">
    <cfRule type="containsBlanks" dxfId="361" priority="489">
      <formula>LEN(TRIM(B384))=0</formula>
    </cfRule>
  </conditionalFormatting>
  <conditionalFormatting sqref="B385">
    <cfRule type="containsBlanks" dxfId="360" priority="488">
      <formula>LEN(TRIM(B385))=0</formula>
    </cfRule>
  </conditionalFormatting>
  <conditionalFormatting sqref="B4:C5">
    <cfRule type="containsBlanks" dxfId="359" priority="487">
      <formula>LEN(TRIM(B4))=0</formula>
    </cfRule>
  </conditionalFormatting>
  <conditionalFormatting sqref="B10:C10">
    <cfRule type="containsBlanks" dxfId="358" priority="486">
      <formula>LEN(TRIM(B10))=0</formula>
    </cfRule>
  </conditionalFormatting>
  <conditionalFormatting sqref="C14">
    <cfRule type="containsBlanks" dxfId="357" priority="485">
      <formula>LEN(TRIM(C14))=0</formula>
    </cfRule>
  </conditionalFormatting>
  <conditionalFormatting sqref="B114">
    <cfRule type="containsBlanks" dxfId="356" priority="483">
      <formula>LEN(TRIM(B114))=0</formula>
    </cfRule>
  </conditionalFormatting>
  <conditionalFormatting sqref="B113">
    <cfRule type="containsBlanks" dxfId="355" priority="479">
      <formula>LEN(TRIM(B113))=0</formula>
    </cfRule>
  </conditionalFormatting>
  <conditionalFormatting sqref="B24:C26">
    <cfRule type="containsBlanks" dxfId="354" priority="478">
      <formula>LEN(TRIM(B24))=0</formula>
    </cfRule>
  </conditionalFormatting>
  <conditionalFormatting sqref="B80:C80">
    <cfRule type="containsBlanks" dxfId="353" priority="477">
      <formula>LEN(TRIM(B80))=0</formula>
    </cfRule>
  </conditionalFormatting>
  <conditionalFormatting sqref="B103:C103">
    <cfRule type="containsBlanks" dxfId="352" priority="476">
      <formula>LEN(TRIM(B103))=0</formula>
    </cfRule>
  </conditionalFormatting>
  <conditionalFormatting sqref="B310">
    <cfRule type="containsBlanks" dxfId="351" priority="475">
      <formula>LEN(TRIM(B310))=0</formula>
    </cfRule>
  </conditionalFormatting>
  <conditionalFormatting sqref="B348">
    <cfRule type="containsBlanks" dxfId="350" priority="474">
      <formula>LEN(TRIM(B348))=0</formula>
    </cfRule>
  </conditionalFormatting>
  <conditionalFormatting sqref="B755:B757">
    <cfRule type="containsBlanks" dxfId="349" priority="461">
      <formula>LEN(TRIM(B755))=0</formula>
    </cfRule>
  </conditionalFormatting>
  <conditionalFormatting sqref="B765:B767">
    <cfRule type="containsBlanks" dxfId="348" priority="460">
      <formula>LEN(TRIM(B765))=0</formula>
    </cfRule>
  </conditionalFormatting>
  <conditionalFormatting sqref="B848:C853">
    <cfRule type="containsBlanks" dxfId="347" priority="454">
      <formula>LEN(TRIM(B848))=0</formula>
    </cfRule>
  </conditionalFormatting>
  <conditionalFormatting sqref="B845:B847">
    <cfRule type="containsBlanks" dxfId="346" priority="451">
      <formula>LEN(TRIM(B845))=0</formula>
    </cfRule>
  </conditionalFormatting>
  <conditionalFormatting sqref="B835:B837">
    <cfRule type="containsBlanks" dxfId="345" priority="450">
      <formula>LEN(TRIM(B835))=0</formula>
    </cfRule>
  </conditionalFormatting>
  <conditionalFormatting sqref="B838:C843">
    <cfRule type="containsBlanks" dxfId="344" priority="449">
      <formula>LEN(TRIM(B838))=0</formula>
    </cfRule>
  </conditionalFormatting>
  <conditionalFormatting sqref="B828:C833">
    <cfRule type="containsBlanks" dxfId="343" priority="448">
      <formula>LEN(TRIM(B828))=0</formula>
    </cfRule>
  </conditionalFormatting>
  <conditionalFormatting sqref="B825:B827">
    <cfRule type="containsBlanks" dxfId="342" priority="447">
      <formula>LEN(TRIM(B825))=0</formula>
    </cfRule>
  </conditionalFormatting>
  <conditionalFormatting sqref="B818:C823">
    <cfRule type="containsBlanks" dxfId="341" priority="446">
      <formula>LEN(TRIM(B818))=0</formula>
    </cfRule>
  </conditionalFormatting>
  <conditionalFormatting sqref="B815:B817">
    <cfRule type="containsBlanks" dxfId="340" priority="445">
      <formula>LEN(TRIM(B815))=0</formula>
    </cfRule>
  </conditionalFormatting>
  <conditionalFormatting sqref="B808:C813">
    <cfRule type="containsBlanks" dxfId="339" priority="444">
      <formula>LEN(TRIM(B808))=0</formula>
    </cfRule>
  </conditionalFormatting>
  <conditionalFormatting sqref="B805:B807">
    <cfRule type="containsBlanks" dxfId="338" priority="443">
      <formula>LEN(TRIM(B805))=0</formula>
    </cfRule>
  </conditionalFormatting>
  <conditionalFormatting sqref="B798:C803">
    <cfRule type="containsBlanks" dxfId="337" priority="442">
      <formula>LEN(TRIM(B798))=0</formula>
    </cfRule>
  </conditionalFormatting>
  <conditionalFormatting sqref="B795:B797">
    <cfRule type="containsBlanks" dxfId="336" priority="441">
      <formula>LEN(TRIM(B795))=0</formula>
    </cfRule>
  </conditionalFormatting>
  <conditionalFormatting sqref="B788:C793">
    <cfRule type="containsBlanks" dxfId="335" priority="440">
      <formula>LEN(TRIM(B788))=0</formula>
    </cfRule>
  </conditionalFormatting>
  <conditionalFormatting sqref="B785:B787">
    <cfRule type="containsBlanks" dxfId="334" priority="439">
      <formula>LEN(TRIM(B785))=0</formula>
    </cfRule>
  </conditionalFormatting>
  <conditionalFormatting sqref="B778:C783">
    <cfRule type="containsBlanks" dxfId="333" priority="438">
      <formula>LEN(TRIM(B778))=0</formula>
    </cfRule>
  </conditionalFormatting>
  <conditionalFormatting sqref="B775:B777">
    <cfRule type="containsBlanks" dxfId="332" priority="437">
      <formula>LEN(TRIM(B775))=0</formula>
    </cfRule>
  </conditionalFormatting>
  <conditionalFormatting sqref="B768:C773">
    <cfRule type="containsBlanks" dxfId="331" priority="436">
      <formula>LEN(TRIM(B768))=0</formula>
    </cfRule>
  </conditionalFormatting>
  <conditionalFormatting sqref="B758:C763">
    <cfRule type="containsBlanks" dxfId="330" priority="435">
      <formula>LEN(TRIM(B758))=0</formula>
    </cfRule>
  </conditionalFormatting>
  <conditionalFormatting sqref="B689">
    <cfRule type="containsBlanks" dxfId="329" priority="434">
      <formula>LEN(TRIM(B689))=0</formula>
    </cfRule>
  </conditionalFormatting>
  <conditionalFormatting sqref="B697">
    <cfRule type="containsBlanks" dxfId="328" priority="433">
      <formula>LEN(TRIM(B697))=0</formula>
    </cfRule>
  </conditionalFormatting>
  <conditionalFormatting sqref="B705">
    <cfRule type="containsBlanks" dxfId="327" priority="432">
      <formula>LEN(TRIM(B705))=0</formula>
    </cfRule>
  </conditionalFormatting>
  <conditionalFormatting sqref="B713">
    <cfRule type="containsBlanks" dxfId="326" priority="431">
      <formula>LEN(TRIM(B713))=0</formula>
    </cfRule>
  </conditionalFormatting>
  <conditionalFormatting sqref="B721">
    <cfRule type="containsBlanks" dxfId="325" priority="430">
      <formula>LEN(TRIM(B721))=0</formula>
    </cfRule>
  </conditionalFormatting>
  <conditionalFormatting sqref="B729">
    <cfRule type="containsBlanks" dxfId="324" priority="429">
      <formula>LEN(TRIM(B729))=0</formula>
    </cfRule>
  </conditionalFormatting>
  <conditionalFormatting sqref="B737">
    <cfRule type="containsBlanks" dxfId="323" priority="428">
      <formula>LEN(TRIM(B737))=0</formula>
    </cfRule>
  </conditionalFormatting>
  <conditionalFormatting sqref="B745">
    <cfRule type="containsBlanks" dxfId="322" priority="427">
      <formula>LEN(TRIM(B745))=0</formula>
    </cfRule>
  </conditionalFormatting>
  <conditionalFormatting sqref="C87">
    <cfRule type="containsBlanks" dxfId="321" priority="425">
      <formula>LEN(TRIM(C87))=0</formula>
    </cfRule>
  </conditionalFormatting>
  <conditionalFormatting sqref="B93:C93">
    <cfRule type="containsBlanks" dxfId="320" priority="422">
      <formula>LEN(TRIM(B93))=0</formula>
    </cfRule>
  </conditionalFormatting>
  <conditionalFormatting sqref="B216">
    <cfRule type="containsBlanks" dxfId="319" priority="419">
      <formula>LEN(TRIM(B216))=0</formula>
    </cfRule>
  </conditionalFormatting>
  <conditionalFormatting sqref="B228">
    <cfRule type="containsBlanks" dxfId="318" priority="418">
      <formula>LEN(TRIM(B228))=0</formula>
    </cfRule>
  </conditionalFormatting>
  <conditionalFormatting sqref="B240">
    <cfRule type="containsBlanks" dxfId="317" priority="417">
      <formula>LEN(TRIM(B240))=0</formula>
    </cfRule>
  </conditionalFormatting>
  <conditionalFormatting sqref="C89:C90 B86:B90">
    <cfRule type="containsBlanks" dxfId="316" priority="414">
      <formula>LEN(TRIM(B86))=0</formula>
    </cfRule>
  </conditionalFormatting>
  <conditionalFormatting sqref="C86">
    <cfRule type="containsBlanks" dxfId="315" priority="413">
      <formula>LEN(TRIM(C86))=0</formula>
    </cfRule>
  </conditionalFormatting>
  <conditionalFormatting sqref="C88">
    <cfRule type="containsBlanks" dxfId="314" priority="412">
      <formula>LEN(TRIM(C88))=0</formula>
    </cfRule>
  </conditionalFormatting>
  <conditionalFormatting sqref="B73">
    <cfRule type="containsBlanks" dxfId="313" priority="408">
      <formula>LEN(TRIM(B73))=0</formula>
    </cfRule>
  </conditionalFormatting>
  <conditionalFormatting sqref="B74">
    <cfRule type="containsBlanks" dxfId="312" priority="407">
      <formula>LEN(TRIM(B74))=0</formula>
    </cfRule>
  </conditionalFormatting>
  <conditionalFormatting sqref="B75">
    <cfRule type="containsBlanks" dxfId="311" priority="406">
      <formula>LEN(TRIM(B75))=0</formula>
    </cfRule>
  </conditionalFormatting>
  <conditionalFormatting sqref="B76:C77">
    <cfRule type="containsBlanks" dxfId="310" priority="404">
      <formula>LEN(TRIM(B76))=0</formula>
    </cfRule>
  </conditionalFormatting>
  <conditionalFormatting sqref="B116 B119:B123">
    <cfRule type="containsBlanks" dxfId="309" priority="402">
      <formula>LEN(TRIM(B116))=0</formula>
    </cfRule>
  </conditionalFormatting>
  <conditionalFormatting sqref="B117:B118">
    <cfRule type="containsBlanks" dxfId="308" priority="401">
      <formula>LEN(TRIM(B117))=0</formula>
    </cfRule>
  </conditionalFormatting>
  <conditionalFormatting sqref="B202">
    <cfRule type="containsBlanks" dxfId="307" priority="400">
      <formula>LEN(TRIM(B202))=0</formula>
    </cfRule>
  </conditionalFormatting>
  <conditionalFormatting sqref="B203:B204">
    <cfRule type="containsBlanks" dxfId="306" priority="399">
      <formula>LEN(TRIM(B203))=0</formula>
    </cfRule>
  </conditionalFormatting>
  <conditionalFormatting sqref="B205">
    <cfRule type="containsBlanks" dxfId="305" priority="398">
      <formula>LEN(TRIM(B205))=0</formula>
    </cfRule>
  </conditionalFormatting>
  <conditionalFormatting sqref="B391">
    <cfRule type="containsBlanks" dxfId="304" priority="396">
      <formula>LEN(TRIM(B391))=0</formula>
    </cfRule>
  </conditionalFormatting>
  <conditionalFormatting sqref="B857">
    <cfRule type="containsBlanks" dxfId="303" priority="386">
      <formula>LEN(TRIM(B857))=0</formula>
    </cfRule>
  </conditionalFormatting>
  <conditionalFormatting sqref="B861:B868">
    <cfRule type="containsBlanks" dxfId="302" priority="385">
      <formula>LEN(TRIM(B861))=0</formula>
    </cfRule>
  </conditionalFormatting>
  <conditionalFormatting sqref="B872:B881">
    <cfRule type="containsBlanks" dxfId="301" priority="383">
      <formula>LEN(TRIM(B872))=0</formula>
    </cfRule>
  </conditionalFormatting>
  <conditionalFormatting sqref="B870">
    <cfRule type="containsBlanks" dxfId="300" priority="382">
      <formula>LEN(TRIM(B870))=0</formula>
    </cfRule>
  </conditionalFormatting>
  <conditionalFormatting sqref="B860">
    <cfRule type="containsBlanks" dxfId="299" priority="381">
      <formula>LEN(TRIM(B860))=0</formula>
    </cfRule>
  </conditionalFormatting>
  <conditionalFormatting sqref="B871">
    <cfRule type="containsBlanks" dxfId="298" priority="380">
      <formula>LEN(TRIM(B871))=0</formula>
    </cfRule>
  </conditionalFormatting>
  <conditionalFormatting sqref="B883:B884">
    <cfRule type="containsBlanks" dxfId="297" priority="379">
      <formula>LEN(TRIM(B883))=0</formula>
    </cfRule>
  </conditionalFormatting>
  <conditionalFormatting sqref="B885:B894">
    <cfRule type="containsBlanks" dxfId="296" priority="378">
      <formula>LEN(TRIM(B885))=0</formula>
    </cfRule>
  </conditionalFormatting>
  <conditionalFormatting sqref="B896:B897">
    <cfRule type="containsBlanks" dxfId="295" priority="377">
      <formula>LEN(TRIM(B896))=0</formula>
    </cfRule>
  </conditionalFormatting>
  <conditionalFormatting sqref="B901:B907">
    <cfRule type="containsBlanks" dxfId="294" priority="376">
      <formula>LEN(TRIM(B901))=0</formula>
    </cfRule>
  </conditionalFormatting>
  <conditionalFormatting sqref="B899:B900">
    <cfRule type="containsBlanks" dxfId="293" priority="375">
      <formula>LEN(TRIM(B899))=0</formula>
    </cfRule>
  </conditionalFormatting>
  <conditionalFormatting sqref="B909:B910">
    <cfRule type="containsBlanks" dxfId="292" priority="374">
      <formula>LEN(TRIM(B909))=0</formula>
    </cfRule>
  </conditionalFormatting>
  <conditionalFormatting sqref="B912">
    <cfRule type="containsBlanks" dxfId="291" priority="373">
      <formula>LEN(TRIM(B912))=0</formula>
    </cfRule>
  </conditionalFormatting>
  <conditionalFormatting sqref="B919:B920">
    <cfRule type="containsBlanks" dxfId="290" priority="372">
      <formula>LEN(TRIM(B919))=0</formula>
    </cfRule>
  </conditionalFormatting>
  <conditionalFormatting sqref="B913">
    <cfRule type="containsBlanks" dxfId="289" priority="371">
      <formula>LEN(TRIM(B913))=0</formula>
    </cfRule>
  </conditionalFormatting>
  <conditionalFormatting sqref="B918">
    <cfRule type="containsBlanks" dxfId="288" priority="370">
      <formula>LEN(TRIM(B918))=0</formula>
    </cfRule>
  </conditionalFormatting>
  <conditionalFormatting sqref="B914">
    <cfRule type="containsBlanks" dxfId="287" priority="369">
      <formula>LEN(TRIM(B914))=0</formula>
    </cfRule>
  </conditionalFormatting>
  <conditionalFormatting sqref="B917">
    <cfRule type="containsBlanks" dxfId="286" priority="368">
      <formula>LEN(TRIM(B917))=0</formula>
    </cfRule>
  </conditionalFormatting>
  <conditionalFormatting sqref="B915:B916">
    <cfRule type="containsBlanks" dxfId="285" priority="367">
      <formula>LEN(TRIM(B915))=0</formula>
    </cfRule>
  </conditionalFormatting>
  <conditionalFormatting sqref="B898">
    <cfRule type="containsBlanks" dxfId="284" priority="358">
      <formula>LEN(TRIM(B898))=0</formula>
    </cfRule>
  </conditionalFormatting>
  <conditionalFormatting sqref="B859">
    <cfRule type="containsBlanks" dxfId="283" priority="357">
      <formula>LEN(TRIM(B859))=0</formula>
    </cfRule>
  </conditionalFormatting>
  <conditionalFormatting sqref="B911">
    <cfRule type="containsBlanks" dxfId="282" priority="356">
      <formula>LEN(TRIM(B911))=0</formula>
    </cfRule>
  </conditionalFormatting>
  <conditionalFormatting sqref="B858">
    <cfRule type="containsBlanks" dxfId="281" priority="355">
      <formula>LEN(TRIM(B858))=0</formula>
    </cfRule>
  </conditionalFormatting>
  <conditionalFormatting sqref="B27">
    <cfRule type="containsBlanks" dxfId="280" priority="353">
      <formula>LEN(TRIM(B27))=0</formula>
    </cfRule>
  </conditionalFormatting>
  <conditionalFormatting sqref="C27">
    <cfRule type="containsBlanks" dxfId="279" priority="352">
      <formula>LEN(TRIM(C27))=0</formula>
    </cfRule>
  </conditionalFormatting>
  <conditionalFormatting sqref="B28">
    <cfRule type="containsBlanks" dxfId="278" priority="351">
      <formula>LEN(TRIM(B28))=0</formula>
    </cfRule>
  </conditionalFormatting>
  <conditionalFormatting sqref="C28">
    <cfRule type="containsBlanks" dxfId="277" priority="350">
      <formula>LEN(TRIM(C28))=0</formula>
    </cfRule>
  </conditionalFormatting>
  <conditionalFormatting sqref="B29">
    <cfRule type="containsBlanks" dxfId="276" priority="349">
      <formula>LEN(TRIM(B29))=0</formula>
    </cfRule>
  </conditionalFormatting>
  <conditionalFormatting sqref="C29">
    <cfRule type="containsBlanks" dxfId="275" priority="348">
      <formula>LEN(TRIM(C29))=0</formula>
    </cfRule>
  </conditionalFormatting>
  <conditionalFormatting sqref="B395">
    <cfRule type="containsBlanks" dxfId="274" priority="277">
      <formula>LEN(TRIM(B395))=0</formula>
    </cfRule>
  </conditionalFormatting>
  <conditionalFormatting sqref="C395">
    <cfRule type="containsBlanks" dxfId="273" priority="276">
      <formula>LEN(TRIM(C395))=0</formula>
    </cfRule>
  </conditionalFormatting>
  <conditionalFormatting sqref="B393:B394">
    <cfRule type="containsBlanks" dxfId="272" priority="275">
      <formula>LEN(TRIM(B393))=0</formula>
    </cfRule>
  </conditionalFormatting>
  <conditionalFormatting sqref="B396">
    <cfRule type="containsBlanks" dxfId="271" priority="274">
      <formula>LEN(TRIM(B396))=0</formula>
    </cfRule>
  </conditionalFormatting>
  <conditionalFormatting sqref="B397">
    <cfRule type="containsBlanks" dxfId="270" priority="273">
      <formula>LEN(TRIM(B397))=0</formula>
    </cfRule>
  </conditionalFormatting>
  <conditionalFormatting sqref="B401:B404">
    <cfRule type="containsBlanks" dxfId="269" priority="272">
      <formula>LEN(TRIM(B401))=0</formula>
    </cfRule>
  </conditionalFormatting>
  <conditionalFormatting sqref="B400">
    <cfRule type="containsBlanks" dxfId="268" priority="271">
      <formula>LEN(TRIM(B400))=0</formula>
    </cfRule>
  </conditionalFormatting>
  <conditionalFormatting sqref="B398">
    <cfRule type="containsBlanks" dxfId="267" priority="270">
      <formula>LEN(TRIM(B398))=0</formula>
    </cfRule>
  </conditionalFormatting>
  <conditionalFormatting sqref="B399">
    <cfRule type="containsBlanks" dxfId="266" priority="269">
      <formula>LEN(TRIM(B399))=0</formula>
    </cfRule>
  </conditionalFormatting>
  <conditionalFormatting sqref="B405">
    <cfRule type="containsBlanks" dxfId="265" priority="268">
      <formula>LEN(TRIM(B405))=0</formula>
    </cfRule>
  </conditionalFormatting>
  <conditionalFormatting sqref="B409">
    <cfRule type="containsBlanks" dxfId="264" priority="267">
      <formula>LEN(TRIM(B409))=0</formula>
    </cfRule>
  </conditionalFormatting>
  <conditionalFormatting sqref="C409">
    <cfRule type="containsBlanks" dxfId="263" priority="266">
      <formula>LEN(TRIM(C409))=0</formula>
    </cfRule>
  </conditionalFormatting>
  <conditionalFormatting sqref="B407:B408">
    <cfRule type="containsBlanks" dxfId="262" priority="265">
      <formula>LEN(TRIM(B407))=0</formula>
    </cfRule>
  </conditionalFormatting>
  <conditionalFormatting sqref="B410">
    <cfRule type="containsBlanks" dxfId="261" priority="264">
      <formula>LEN(TRIM(B410))=0</formula>
    </cfRule>
  </conditionalFormatting>
  <conditionalFormatting sqref="B411">
    <cfRule type="containsBlanks" dxfId="260" priority="263">
      <formula>LEN(TRIM(B411))=0</formula>
    </cfRule>
  </conditionalFormatting>
  <conditionalFormatting sqref="B415:B418">
    <cfRule type="containsBlanks" dxfId="259" priority="262">
      <formula>LEN(TRIM(B415))=0</formula>
    </cfRule>
  </conditionalFormatting>
  <conditionalFormatting sqref="B414">
    <cfRule type="containsBlanks" dxfId="258" priority="261">
      <formula>LEN(TRIM(B414))=0</formula>
    </cfRule>
  </conditionalFormatting>
  <conditionalFormatting sqref="B412">
    <cfRule type="containsBlanks" dxfId="257" priority="260">
      <formula>LEN(TRIM(B412))=0</formula>
    </cfRule>
  </conditionalFormatting>
  <conditionalFormatting sqref="B413">
    <cfRule type="containsBlanks" dxfId="256" priority="259">
      <formula>LEN(TRIM(B413))=0</formula>
    </cfRule>
  </conditionalFormatting>
  <conditionalFormatting sqref="B419">
    <cfRule type="containsBlanks" dxfId="255" priority="258">
      <formula>LEN(TRIM(B419))=0</formula>
    </cfRule>
  </conditionalFormatting>
  <conditionalFormatting sqref="B423">
    <cfRule type="containsBlanks" dxfId="254" priority="257">
      <formula>LEN(TRIM(B423))=0</formula>
    </cfRule>
  </conditionalFormatting>
  <conditionalFormatting sqref="C423">
    <cfRule type="containsBlanks" dxfId="253" priority="256">
      <formula>LEN(TRIM(C423))=0</formula>
    </cfRule>
  </conditionalFormatting>
  <conditionalFormatting sqref="B421:B422">
    <cfRule type="containsBlanks" dxfId="252" priority="255">
      <formula>LEN(TRIM(B421))=0</formula>
    </cfRule>
  </conditionalFormatting>
  <conditionalFormatting sqref="B424">
    <cfRule type="containsBlanks" dxfId="251" priority="254">
      <formula>LEN(TRIM(B424))=0</formula>
    </cfRule>
  </conditionalFormatting>
  <conditionalFormatting sqref="B425">
    <cfRule type="containsBlanks" dxfId="250" priority="253">
      <formula>LEN(TRIM(B425))=0</formula>
    </cfRule>
  </conditionalFormatting>
  <conditionalFormatting sqref="B429:B432">
    <cfRule type="containsBlanks" dxfId="249" priority="252">
      <formula>LEN(TRIM(B429))=0</formula>
    </cfRule>
  </conditionalFormatting>
  <conditionalFormatting sqref="B428">
    <cfRule type="containsBlanks" dxfId="248" priority="251">
      <formula>LEN(TRIM(B428))=0</formula>
    </cfRule>
  </conditionalFormatting>
  <conditionalFormatting sqref="B426">
    <cfRule type="containsBlanks" dxfId="247" priority="250">
      <formula>LEN(TRIM(B426))=0</formula>
    </cfRule>
  </conditionalFormatting>
  <conditionalFormatting sqref="B427">
    <cfRule type="containsBlanks" dxfId="246" priority="249">
      <formula>LEN(TRIM(B427))=0</formula>
    </cfRule>
  </conditionalFormatting>
  <conditionalFormatting sqref="B433">
    <cfRule type="containsBlanks" dxfId="245" priority="248">
      <formula>LEN(TRIM(B433))=0</formula>
    </cfRule>
  </conditionalFormatting>
  <conditionalFormatting sqref="B437">
    <cfRule type="containsBlanks" dxfId="244" priority="247">
      <formula>LEN(TRIM(B437))=0</formula>
    </cfRule>
  </conditionalFormatting>
  <conditionalFormatting sqref="C437">
    <cfRule type="containsBlanks" dxfId="243" priority="246">
      <formula>LEN(TRIM(C437))=0</formula>
    </cfRule>
  </conditionalFormatting>
  <conditionalFormatting sqref="B435:B436">
    <cfRule type="containsBlanks" dxfId="242" priority="245">
      <formula>LEN(TRIM(B435))=0</formula>
    </cfRule>
  </conditionalFormatting>
  <conditionalFormatting sqref="B438">
    <cfRule type="containsBlanks" dxfId="241" priority="244">
      <formula>LEN(TRIM(B438))=0</formula>
    </cfRule>
  </conditionalFormatting>
  <conditionalFormatting sqref="B439">
    <cfRule type="containsBlanks" dxfId="240" priority="243">
      <formula>LEN(TRIM(B439))=0</formula>
    </cfRule>
  </conditionalFormatting>
  <conditionalFormatting sqref="B443:B446">
    <cfRule type="containsBlanks" dxfId="239" priority="242">
      <formula>LEN(TRIM(B443))=0</formula>
    </cfRule>
  </conditionalFormatting>
  <conditionalFormatting sqref="B442">
    <cfRule type="containsBlanks" dxfId="238" priority="241">
      <formula>LEN(TRIM(B442))=0</formula>
    </cfRule>
  </conditionalFormatting>
  <conditionalFormatting sqref="B440">
    <cfRule type="containsBlanks" dxfId="237" priority="240">
      <formula>LEN(TRIM(B440))=0</formula>
    </cfRule>
  </conditionalFormatting>
  <conditionalFormatting sqref="B441">
    <cfRule type="containsBlanks" dxfId="236" priority="239">
      <formula>LEN(TRIM(B441))=0</formula>
    </cfRule>
  </conditionalFormatting>
  <conditionalFormatting sqref="B447">
    <cfRule type="containsBlanks" dxfId="235" priority="238">
      <formula>LEN(TRIM(B447))=0</formula>
    </cfRule>
  </conditionalFormatting>
  <conditionalFormatting sqref="B451">
    <cfRule type="containsBlanks" dxfId="234" priority="237">
      <formula>LEN(TRIM(B451))=0</formula>
    </cfRule>
  </conditionalFormatting>
  <conditionalFormatting sqref="C451">
    <cfRule type="containsBlanks" dxfId="233" priority="236">
      <formula>LEN(TRIM(C451))=0</formula>
    </cfRule>
  </conditionalFormatting>
  <conditionalFormatting sqref="B449:B450">
    <cfRule type="containsBlanks" dxfId="232" priority="235">
      <formula>LEN(TRIM(B449))=0</formula>
    </cfRule>
  </conditionalFormatting>
  <conditionalFormatting sqref="B452">
    <cfRule type="containsBlanks" dxfId="231" priority="234">
      <formula>LEN(TRIM(B452))=0</formula>
    </cfRule>
  </conditionalFormatting>
  <conditionalFormatting sqref="B453">
    <cfRule type="containsBlanks" dxfId="230" priority="233">
      <formula>LEN(TRIM(B453))=0</formula>
    </cfRule>
  </conditionalFormatting>
  <conditionalFormatting sqref="B457:B460">
    <cfRule type="containsBlanks" dxfId="229" priority="232">
      <formula>LEN(TRIM(B457))=0</formula>
    </cfRule>
  </conditionalFormatting>
  <conditionalFormatting sqref="B456">
    <cfRule type="containsBlanks" dxfId="228" priority="231">
      <formula>LEN(TRIM(B456))=0</formula>
    </cfRule>
  </conditionalFormatting>
  <conditionalFormatting sqref="B454">
    <cfRule type="containsBlanks" dxfId="227" priority="230">
      <formula>LEN(TRIM(B454))=0</formula>
    </cfRule>
  </conditionalFormatting>
  <conditionalFormatting sqref="B455">
    <cfRule type="containsBlanks" dxfId="226" priority="229">
      <formula>LEN(TRIM(B455))=0</formula>
    </cfRule>
  </conditionalFormatting>
  <conditionalFormatting sqref="B461">
    <cfRule type="containsBlanks" dxfId="225" priority="228">
      <formula>LEN(TRIM(B461))=0</formula>
    </cfRule>
  </conditionalFormatting>
  <conditionalFormatting sqref="B465">
    <cfRule type="containsBlanks" dxfId="224" priority="227">
      <formula>LEN(TRIM(B465))=0</formula>
    </cfRule>
  </conditionalFormatting>
  <conditionalFormatting sqref="C465">
    <cfRule type="containsBlanks" dxfId="223" priority="226">
      <formula>LEN(TRIM(C465))=0</formula>
    </cfRule>
  </conditionalFormatting>
  <conditionalFormatting sqref="B463:B464">
    <cfRule type="containsBlanks" dxfId="222" priority="225">
      <formula>LEN(TRIM(B463))=0</formula>
    </cfRule>
  </conditionalFormatting>
  <conditionalFormatting sqref="B466">
    <cfRule type="containsBlanks" dxfId="221" priority="224">
      <formula>LEN(TRIM(B466))=0</formula>
    </cfRule>
  </conditionalFormatting>
  <conditionalFormatting sqref="B467">
    <cfRule type="containsBlanks" dxfId="220" priority="223">
      <formula>LEN(TRIM(B467))=0</formula>
    </cfRule>
  </conditionalFormatting>
  <conditionalFormatting sqref="B471:B474">
    <cfRule type="containsBlanks" dxfId="219" priority="222">
      <formula>LEN(TRIM(B471))=0</formula>
    </cfRule>
  </conditionalFormatting>
  <conditionalFormatting sqref="B470">
    <cfRule type="containsBlanks" dxfId="218" priority="221">
      <formula>LEN(TRIM(B470))=0</formula>
    </cfRule>
  </conditionalFormatting>
  <conditionalFormatting sqref="B468">
    <cfRule type="containsBlanks" dxfId="217" priority="220">
      <formula>LEN(TRIM(B468))=0</formula>
    </cfRule>
  </conditionalFormatting>
  <conditionalFormatting sqref="B469">
    <cfRule type="containsBlanks" dxfId="216" priority="219">
      <formula>LEN(TRIM(B469))=0</formula>
    </cfRule>
  </conditionalFormatting>
  <conditionalFormatting sqref="B475">
    <cfRule type="containsBlanks" dxfId="215" priority="218">
      <formula>LEN(TRIM(B475))=0</formula>
    </cfRule>
  </conditionalFormatting>
  <conditionalFormatting sqref="B479">
    <cfRule type="containsBlanks" dxfId="214" priority="217">
      <formula>LEN(TRIM(B479))=0</formula>
    </cfRule>
  </conditionalFormatting>
  <conditionalFormatting sqref="C479">
    <cfRule type="containsBlanks" dxfId="213" priority="216">
      <formula>LEN(TRIM(C479))=0</formula>
    </cfRule>
  </conditionalFormatting>
  <conditionalFormatting sqref="B477:B478">
    <cfRule type="containsBlanks" dxfId="212" priority="215">
      <formula>LEN(TRIM(B477))=0</formula>
    </cfRule>
  </conditionalFormatting>
  <conditionalFormatting sqref="B480">
    <cfRule type="containsBlanks" dxfId="211" priority="214">
      <formula>LEN(TRIM(B480))=0</formula>
    </cfRule>
  </conditionalFormatting>
  <conditionalFormatting sqref="B481">
    <cfRule type="containsBlanks" dxfId="210" priority="213">
      <formula>LEN(TRIM(B481))=0</formula>
    </cfRule>
  </conditionalFormatting>
  <conditionalFormatting sqref="B485:B488">
    <cfRule type="containsBlanks" dxfId="209" priority="212">
      <formula>LEN(TRIM(B485))=0</formula>
    </cfRule>
  </conditionalFormatting>
  <conditionalFormatting sqref="B484">
    <cfRule type="containsBlanks" dxfId="208" priority="211">
      <formula>LEN(TRIM(B484))=0</formula>
    </cfRule>
  </conditionalFormatting>
  <conditionalFormatting sqref="B482">
    <cfRule type="containsBlanks" dxfId="207" priority="210">
      <formula>LEN(TRIM(B482))=0</formula>
    </cfRule>
  </conditionalFormatting>
  <conditionalFormatting sqref="B483">
    <cfRule type="containsBlanks" dxfId="206" priority="209">
      <formula>LEN(TRIM(B483))=0</formula>
    </cfRule>
  </conditionalFormatting>
  <conditionalFormatting sqref="B489">
    <cfRule type="containsBlanks" dxfId="205" priority="208">
      <formula>LEN(TRIM(B489))=0</formula>
    </cfRule>
  </conditionalFormatting>
  <conditionalFormatting sqref="B493">
    <cfRule type="containsBlanks" dxfId="204" priority="207">
      <formula>LEN(TRIM(B493))=0</formula>
    </cfRule>
  </conditionalFormatting>
  <conditionalFormatting sqref="C493">
    <cfRule type="containsBlanks" dxfId="203" priority="206">
      <formula>LEN(TRIM(C493))=0</formula>
    </cfRule>
  </conditionalFormatting>
  <conditionalFormatting sqref="B491:B492">
    <cfRule type="containsBlanks" dxfId="202" priority="205">
      <formula>LEN(TRIM(B491))=0</formula>
    </cfRule>
  </conditionalFormatting>
  <conditionalFormatting sqref="B494">
    <cfRule type="containsBlanks" dxfId="201" priority="204">
      <formula>LEN(TRIM(B494))=0</formula>
    </cfRule>
  </conditionalFormatting>
  <conditionalFormatting sqref="B495">
    <cfRule type="containsBlanks" dxfId="200" priority="203">
      <formula>LEN(TRIM(B495))=0</formula>
    </cfRule>
  </conditionalFormatting>
  <conditionalFormatting sqref="B499:B502">
    <cfRule type="containsBlanks" dxfId="199" priority="202">
      <formula>LEN(TRIM(B499))=0</formula>
    </cfRule>
  </conditionalFormatting>
  <conditionalFormatting sqref="B498">
    <cfRule type="containsBlanks" dxfId="198" priority="201">
      <formula>LEN(TRIM(B498))=0</formula>
    </cfRule>
  </conditionalFormatting>
  <conditionalFormatting sqref="B496">
    <cfRule type="containsBlanks" dxfId="197" priority="200">
      <formula>LEN(TRIM(B496))=0</formula>
    </cfRule>
  </conditionalFormatting>
  <conditionalFormatting sqref="B497">
    <cfRule type="containsBlanks" dxfId="196" priority="199">
      <formula>LEN(TRIM(B497))=0</formula>
    </cfRule>
  </conditionalFormatting>
  <conditionalFormatting sqref="B503">
    <cfRule type="containsBlanks" dxfId="195" priority="198">
      <formula>LEN(TRIM(B503))=0</formula>
    </cfRule>
  </conditionalFormatting>
  <conditionalFormatting sqref="B507">
    <cfRule type="containsBlanks" dxfId="194" priority="197">
      <formula>LEN(TRIM(B507))=0</formula>
    </cfRule>
  </conditionalFormatting>
  <conditionalFormatting sqref="C507">
    <cfRule type="containsBlanks" dxfId="193" priority="196">
      <formula>LEN(TRIM(C507))=0</formula>
    </cfRule>
  </conditionalFormatting>
  <conditionalFormatting sqref="B505:B506">
    <cfRule type="containsBlanks" dxfId="192" priority="195">
      <formula>LEN(TRIM(B505))=0</formula>
    </cfRule>
  </conditionalFormatting>
  <conditionalFormatting sqref="B508">
    <cfRule type="containsBlanks" dxfId="191" priority="194">
      <formula>LEN(TRIM(B508))=0</formula>
    </cfRule>
  </conditionalFormatting>
  <conditionalFormatting sqref="B509">
    <cfRule type="containsBlanks" dxfId="190" priority="193">
      <formula>LEN(TRIM(B509))=0</formula>
    </cfRule>
  </conditionalFormatting>
  <conditionalFormatting sqref="B513:B516">
    <cfRule type="containsBlanks" dxfId="189" priority="192">
      <formula>LEN(TRIM(B513))=0</formula>
    </cfRule>
  </conditionalFormatting>
  <conditionalFormatting sqref="B512">
    <cfRule type="containsBlanks" dxfId="188" priority="191">
      <formula>LEN(TRIM(B512))=0</formula>
    </cfRule>
  </conditionalFormatting>
  <conditionalFormatting sqref="B510">
    <cfRule type="containsBlanks" dxfId="187" priority="190">
      <formula>LEN(TRIM(B510))=0</formula>
    </cfRule>
  </conditionalFormatting>
  <conditionalFormatting sqref="B511">
    <cfRule type="containsBlanks" dxfId="186" priority="189">
      <formula>LEN(TRIM(B511))=0</formula>
    </cfRule>
  </conditionalFormatting>
  <conditionalFormatting sqref="B517">
    <cfRule type="containsBlanks" dxfId="185" priority="188">
      <formula>LEN(TRIM(B517))=0</formula>
    </cfRule>
  </conditionalFormatting>
  <conditionalFormatting sqref="B536:B538">
    <cfRule type="containsBlanks" dxfId="184" priority="187">
      <formula>LEN(TRIM(B536))=0</formula>
    </cfRule>
  </conditionalFormatting>
  <conditionalFormatting sqref="B539">
    <cfRule type="containsBlanks" dxfId="183" priority="186">
      <formula>LEN(TRIM(B539))=0</formula>
    </cfRule>
  </conditionalFormatting>
  <conditionalFormatting sqref="B540">
    <cfRule type="containsBlanks" dxfId="182" priority="185">
      <formula>LEN(TRIM(B540))=0</formula>
    </cfRule>
  </conditionalFormatting>
  <conditionalFormatting sqref="B541">
    <cfRule type="containsBlanks" dxfId="181" priority="184">
      <formula>LEN(TRIM(B541))=0</formula>
    </cfRule>
  </conditionalFormatting>
  <conditionalFormatting sqref="B542:B549">
    <cfRule type="containsBlanks" dxfId="180" priority="183">
      <formula>LEN(TRIM(B542))=0</formula>
    </cfRule>
  </conditionalFormatting>
  <conditionalFormatting sqref="B551:B553">
    <cfRule type="containsBlanks" dxfId="179" priority="182">
      <formula>LEN(TRIM(B551))=0</formula>
    </cfRule>
  </conditionalFormatting>
  <conditionalFormatting sqref="B554">
    <cfRule type="containsBlanks" dxfId="178" priority="181">
      <formula>LEN(TRIM(B554))=0</formula>
    </cfRule>
  </conditionalFormatting>
  <conditionalFormatting sqref="B555">
    <cfRule type="containsBlanks" dxfId="177" priority="180">
      <formula>LEN(TRIM(B555))=0</formula>
    </cfRule>
  </conditionalFormatting>
  <conditionalFormatting sqref="B556">
    <cfRule type="containsBlanks" dxfId="176" priority="179">
      <formula>LEN(TRIM(B556))=0</formula>
    </cfRule>
  </conditionalFormatting>
  <conditionalFormatting sqref="B557:B564">
    <cfRule type="containsBlanks" dxfId="175" priority="178">
      <formula>LEN(TRIM(B557))=0</formula>
    </cfRule>
  </conditionalFormatting>
  <conditionalFormatting sqref="B566:B568">
    <cfRule type="containsBlanks" dxfId="174" priority="177">
      <formula>LEN(TRIM(B566))=0</formula>
    </cfRule>
  </conditionalFormatting>
  <conditionalFormatting sqref="B569">
    <cfRule type="containsBlanks" dxfId="173" priority="176">
      <formula>LEN(TRIM(B569))=0</formula>
    </cfRule>
  </conditionalFormatting>
  <conditionalFormatting sqref="B570">
    <cfRule type="containsBlanks" dxfId="172" priority="175">
      <formula>LEN(TRIM(B570))=0</formula>
    </cfRule>
  </conditionalFormatting>
  <conditionalFormatting sqref="B571">
    <cfRule type="containsBlanks" dxfId="171" priority="174">
      <formula>LEN(TRIM(B571))=0</formula>
    </cfRule>
  </conditionalFormatting>
  <conditionalFormatting sqref="B572:B579">
    <cfRule type="containsBlanks" dxfId="170" priority="173">
      <formula>LEN(TRIM(B572))=0</formula>
    </cfRule>
  </conditionalFormatting>
  <conditionalFormatting sqref="B581:B583">
    <cfRule type="containsBlanks" dxfId="169" priority="172">
      <formula>LEN(TRIM(B581))=0</formula>
    </cfRule>
  </conditionalFormatting>
  <conditionalFormatting sqref="B584">
    <cfRule type="containsBlanks" dxfId="168" priority="171">
      <formula>LEN(TRIM(B584))=0</formula>
    </cfRule>
  </conditionalFormatting>
  <conditionalFormatting sqref="B585">
    <cfRule type="containsBlanks" dxfId="167" priority="170">
      <formula>LEN(TRIM(B585))=0</formula>
    </cfRule>
  </conditionalFormatting>
  <conditionalFormatting sqref="B586">
    <cfRule type="containsBlanks" dxfId="166" priority="169">
      <formula>LEN(TRIM(B586))=0</formula>
    </cfRule>
  </conditionalFormatting>
  <conditionalFormatting sqref="B587:B594">
    <cfRule type="containsBlanks" dxfId="165" priority="168">
      <formula>LEN(TRIM(B587))=0</formula>
    </cfRule>
  </conditionalFormatting>
  <conditionalFormatting sqref="B596:B598">
    <cfRule type="containsBlanks" dxfId="164" priority="167">
      <formula>LEN(TRIM(B596))=0</formula>
    </cfRule>
  </conditionalFormatting>
  <conditionalFormatting sqref="B599">
    <cfRule type="containsBlanks" dxfId="163" priority="166">
      <formula>LEN(TRIM(B599))=0</formula>
    </cfRule>
  </conditionalFormatting>
  <conditionalFormatting sqref="B600">
    <cfRule type="containsBlanks" dxfId="162" priority="165">
      <formula>LEN(TRIM(B600))=0</formula>
    </cfRule>
  </conditionalFormatting>
  <conditionalFormatting sqref="B601">
    <cfRule type="containsBlanks" dxfId="161" priority="164">
      <formula>LEN(TRIM(B601))=0</formula>
    </cfRule>
  </conditionalFormatting>
  <conditionalFormatting sqref="B602:B609">
    <cfRule type="containsBlanks" dxfId="160" priority="163">
      <formula>LEN(TRIM(B602))=0</formula>
    </cfRule>
  </conditionalFormatting>
  <conditionalFormatting sqref="B611:B613">
    <cfRule type="containsBlanks" dxfId="159" priority="162">
      <formula>LEN(TRIM(B611))=0</formula>
    </cfRule>
  </conditionalFormatting>
  <conditionalFormatting sqref="B614">
    <cfRule type="containsBlanks" dxfId="158" priority="161">
      <formula>LEN(TRIM(B614))=0</formula>
    </cfRule>
  </conditionalFormatting>
  <conditionalFormatting sqref="B615">
    <cfRule type="containsBlanks" dxfId="157" priority="160">
      <formula>LEN(TRIM(B615))=0</formula>
    </cfRule>
  </conditionalFormatting>
  <conditionalFormatting sqref="B616">
    <cfRule type="containsBlanks" dxfId="156" priority="159">
      <formula>LEN(TRIM(B616))=0</formula>
    </cfRule>
  </conditionalFormatting>
  <conditionalFormatting sqref="B617:B624">
    <cfRule type="containsBlanks" dxfId="155" priority="158">
      <formula>LEN(TRIM(B617))=0</formula>
    </cfRule>
  </conditionalFormatting>
  <conditionalFormatting sqref="B626:B628">
    <cfRule type="containsBlanks" dxfId="154" priority="157">
      <formula>LEN(TRIM(B626))=0</formula>
    </cfRule>
  </conditionalFormatting>
  <conditionalFormatting sqref="B629">
    <cfRule type="containsBlanks" dxfId="153" priority="156">
      <formula>LEN(TRIM(B629))=0</formula>
    </cfRule>
  </conditionalFormatting>
  <conditionalFormatting sqref="B630">
    <cfRule type="containsBlanks" dxfId="152" priority="155">
      <formula>LEN(TRIM(B630))=0</formula>
    </cfRule>
  </conditionalFormatting>
  <conditionalFormatting sqref="B631">
    <cfRule type="containsBlanks" dxfId="151" priority="154">
      <formula>LEN(TRIM(B631))=0</formula>
    </cfRule>
  </conditionalFormatting>
  <conditionalFormatting sqref="B632:B639">
    <cfRule type="containsBlanks" dxfId="150" priority="153">
      <formula>LEN(TRIM(B632))=0</formula>
    </cfRule>
  </conditionalFormatting>
  <conditionalFormatting sqref="B641:B643">
    <cfRule type="containsBlanks" dxfId="149" priority="152">
      <formula>LEN(TRIM(B641))=0</formula>
    </cfRule>
  </conditionalFormatting>
  <conditionalFormatting sqref="B644">
    <cfRule type="containsBlanks" dxfId="148" priority="151">
      <formula>LEN(TRIM(B644))=0</formula>
    </cfRule>
  </conditionalFormatting>
  <conditionalFormatting sqref="B645">
    <cfRule type="containsBlanks" dxfId="147" priority="150">
      <formula>LEN(TRIM(B645))=0</formula>
    </cfRule>
  </conditionalFormatting>
  <conditionalFormatting sqref="B646">
    <cfRule type="containsBlanks" dxfId="146" priority="149">
      <formula>LEN(TRIM(B646))=0</formula>
    </cfRule>
  </conditionalFormatting>
  <conditionalFormatting sqref="B647:B654">
    <cfRule type="containsBlanks" dxfId="145" priority="148">
      <formula>LEN(TRIM(B647))=0</formula>
    </cfRule>
  </conditionalFormatting>
  <conditionalFormatting sqref="B656:B658">
    <cfRule type="containsBlanks" dxfId="144" priority="147">
      <formula>LEN(TRIM(B656))=0</formula>
    </cfRule>
  </conditionalFormatting>
  <conditionalFormatting sqref="B659">
    <cfRule type="containsBlanks" dxfId="143" priority="146">
      <formula>LEN(TRIM(B659))=0</formula>
    </cfRule>
  </conditionalFormatting>
  <conditionalFormatting sqref="B660">
    <cfRule type="containsBlanks" dxfId="142" priority="145">
      <formula>LEN(TRIM(B660))=0</formula>
    </cfRule>
  </conditionalFormatting>
  <conditionalFormatting sqref="B661">
    <cfRule type="containsBlanks" dxfId="141" priority="144">
      <formula>LEN(TRIM(B661))=0</formula>
    </cfRule>
  </conditionalFormatting>
  <conditionalFormatting sqref="B662:B669">
    <cfRule type="containsBlanks" dxfId="140" priority="143">
      <formula>LEN(TRIM(B662))=0</formula>
    </cfRule>
  </conditionalFormatting>
  <conditionalFormatting sqref="B353">
    <cfRule type="containsBlanks" dxfId="139" priority="142">
      <formula>LEN(TRIM(B353))=0</formula>
    </cfRule>
  </conditionalFormatting>
  <conditionalFormatting sqref="B356">
    <cfRule type="containsBlanks" dxfId="138" priority="141">
      <formula>LEN(TRIM(B356))=0</formula>
    </cfRule>
  </conditionalFormatting>
  <conditionalFormatting sqref="B359">
    <cfRule type="containsBlanks" dxfId="137" priority="140">
      <formula>LEN(TRIM(B359))=0</formula>
    </cfRule>
  </conditionalFormatting>
  <conditionalFormatting sqref="B362">
    <cfRule type="containsBlanks" dxfId="136" priority="139">
      <formula>LEN(TRIM(B362))=0</formula>
    </cfRule>
  </conditionalFormatting>
  <conditionalFormatting sqref="B365">
    <cfRule type="containsBlanks" dxfId="135" priority="138">
      <formula>LEN(TRIM(B365))=0</formula>
    </cfRule>
  </conditionalFormatting>
  <conditionalFormatting sqref="B368">
    <cfRule type="containsBlanks" dxfId="134" priority="137">
      <formula>LEN(TRIM(B368))=0</formula>
    </cfRule>
  </conditionalFormatting>
  <conditionalFormatting sqref="B371">
    <cfRule type="containsBlanks" dxfId="133" priority="136">
      <formula>LEN(TRIM(B371))=0</formula>
    </cfRule>
  </conditionalFormatting>
  <conditionalFormatting sqref="B374">
    <cfRule type="containsBlanks" dxfId="132" priority="135">
      <formula>LEN(TRIM(B374))=0</formula>
    </cfRule>
  </conditionalFormatting>
  <conditionalFormatting sqref="B243 B245:B249">
    <cfRule type="containsBlanks" dxfId="131" priority="134">
      <formula>LEN(TRIM(B243))=0</formula>
    </cfRule>
  </conditionalFormatting>
  <conditionalFormatting sqref="B250">
    <cfRule type="containsBlanks" dxfId="130" priority="133">
      <formula>LEN(TRIM(B250))=0</formula>
    </cfRule>
  </conditionalFormatting>
  <conditionalFormatting sqref="B251">
    <cfRule type="containsBlanks" dxfId="129" priority="132">
      <formula>LEN(TRIM(B251))=0</formula>
    </cfRule>
  </conditionalFormatting>
  <conditionalFormatting sqref="B244">
    <cfRule type="containsBlanks" dxfId="128" priority="131">
      <formula>LEN(TRIM(B244))=0</formula>
    </cfRule>
  </conditionalFormatting>
  <conditionalFormatting sqref="C244">
    <cfRule type="containsBlanks" dxfId="127" priority="130">
      <formula>LEN(TRIM(C244))=0</formula>
    </cfRule>
  </conditionalFormatting>
  <conditionalFormatting sqref="B252">
    <cfRule type="containsBlanks" dxfId="126" priority="129">
      <formula>LEN(TRIM(B252))=0</formula>
    </cfRule>
  </conditionalFormatting>
  <conditionalFormatting sqref="B255 B257:B261">
    <cfRule type="containsBlanks" dxfId="125" priority="128">
      <formula>LEN(TRIM(B255))=0</formula>
    </cfRule>
  </conditionalFormatting>
  <conditionalFormatting sqref="B262">
    <cfRule type="containsBlanks" dxfId="124" priority="127">
      <formula>LEN(TRIM(B262))=0</formula>
    </cfRule>
  </conditionalFormatting>
  <conditionalFormatting sqref="B263">
    <cfRule type="containsBlanks" dxfId="123" priority="126">
      <formula>LEN(TRIM(B263))=0</formula>
    </cfRule>
  </conditionalFormatting>
  <conditionalFormatting sqref="B256">
    <cfRule type="containsBlanks" dxfId="122" priority="125">
      <formula>LEN(TRIM(B256))=0</formula>
    </cfRule>
  </conditionalFormatting>
  <conditionalFormatting sqref="C256">
    <cfRule type="containsBlanks" dxfId="121" priority="124">
      <formula>LEN(TRIM(C256))=0</formula>
    </cfRule>
  </conditionalFormatting>
  <conditionalFormatting sqref="B264">
    <cfRule type="containsBlanks" dxfId="120" priority="123">
      <formula>LEN(TRIM(B264))=0</formula>
    </cfRule>
  </conditionalFormatting>
  <conditionalFormatting sqref="B267 B269:B273">
    <cfRule type="containsBlanks" dxfId="119" priority="122">
      <formula>LEN(TRIM(B267))=0</formula>
    </cfRule>
  </conditionalFormatting>
  <conditionalFormatting sqref="B274">
    <cfRule type="containsBlanks" dxfId="118" priority="121">
      <formula>LEN(TRIM(B274))=0</formula>
    </cfRule>
  </conditionalFormatting>
  <conditionalFormatting sqref="B275">
    <cfRule type="containsBlanks" dxfId="117" priority="120">
      <formula>LEN(TRIM(B275))=0</formula>
    </cfRule>
  </conditionalFormatting>
  <conditionalFormatting sqref="B268">
    <cfRule type="containsBlanks" dxfId="116" priority="119">
      <formula>LEN(TRIM(B268))=0</formula>
    </cfRule>
  </conditionalFormatting>
  <conditionalFormatting sqref="C268">
    <cfRule type="containsBlanks" dxfId="115" priority="118">
      <formula>LEN(TRIM(C268))=0</formula>
    </cfRule>
  </conditionalFormatting>
  <conditionalFormatting sqref="B276">
    <cfRule type="containsBlanks" dxfId="114" priority="117">
      <formula>LEN(TRIM(B276))=0</formula>
    </cfRule>
  </conditionalFormatting>
  <conditionalFormatting sqref="B279 B281:B285">
    <cfRule type="containsBlanks" dxfId="113" priority="116">
      <formula>LEN(TRIM(B279))=0</formula>
    </cfRule>
  </conditionalFormatting>
  <conditionalFormatting sqref="B286">
    <cfRule type="containsBlanks" dxfId="112" priority="115">
      <formula>LEN(TRIM(B286))=0</formula>
    </cfRule>
  </conditionalFormatting>
  <conditionalFormatting sqref="B287">
    <cfRule type="containsBlanks" dxfId="111" priority="114">
      <formula>LEN(TRIM(B287))=0</formula>
    </cfRule>
  </conditionalFormatting>
  <conditionalFormatting sqref="B280">
    <cfRule type="containsBlanks" dxfId="110" priority="113">
      <formula>LEN(TRIM(B280))=0</formula>
    </cfRule>
  </conditionalFormatting>
  <conditionalFormatting sqref="C280">
    <cfRule type="containsBlanks" dxfId="109" priority="112">
      <formula>LEN(TRIM(C280))=0</formula>
    </cfRule>
  </conditionalFormatting>
  <conditionalFormatting sqref="B288">
    <cfRule type="containsBlanks" dxfId="108" priority="111">
      <formula>LEN(TRIM(B288))=0</formula>
    </cfRule>
  </conditionalFormatting>
  <conditionalFormatting sqref="B291 B293:B297">
    <cfRule type="containsBlanks" dxfId="107" priority="110">
      <formula>LEN(TRIM(B291))=0</formula>
    </cfRule>
  </conditionalFormatting>
  <conditionalFormatting sqref="B298">
    <cfRule type="containsBlanks" dxfId="106" priority="109">
      <formula>LEN(TRIM(B298))=0</formula>
    </cfRule>
  </conditionalFormatting>
  <conditionalFormatting sqref="B299">
    <cfRule type="containsBlanks" dxfId="105" priority="108">
      <formula>LEN(TRIM(B299))=0</formula>
    </cfRule>
  </conditionalFormatting>
  <conditionalFormatting sqref="B292">
    <cfRule type="containsBlanks" dxfId="104" priority="107">
      <formula>LEN(TRIM(B292))=0</formula>
    </cfRule>
  </conditionalFormatting>
  <conditionalFormatting sqref="C292">
    <cfRule type="containsBlanks" dxfId="103" priority="106">
      <formula>LEN(TRIM(C292))=0</formula>
    </cfRule>
  </conditionalFormatting>
  <conditionalFormatting sqref="B300">
    <cfRule type="containsBlanks" dxfId="102" priority="105">
      <formula>LEN(TRIM(B300))=0</formula>
    </cfRule>
  </conditionalFormatting>
  <conditionalFormatting sqref="B313">
    <cfRule type="containsBlanks" dxfId="101" priority="104">
      <formula>LEN(TRIM(B313))=0</formula>
    </cfRule>
  </conditionalFormatting>
  <conditionalFormatting sqref="B314">
    <cfRule type="containsBlanks" dxfId="100" priority="103">
      <formula>LEN(TRIM(B314))=0</formula>
    </cfRule>
  </conditionalFormatting>
  <conditionalFormatting sqref="B317">
    <cfRule type="containsBlanks" dxfId="99" priority="102">
      <formula>LEN(TRIM(B317))=0</formula>
    </cfRule>
  </conditionalFormatting>
  <conditionalFormatting sqref="B318">
    <cfRule type="containsBlanks" dxfId="98" priority="101">
      <formula>LEN(TRIM(B318))=0</formula>
    </cfRule>
  </conditionalFormatting>
  <conditionalFormatting sqref="B321">
    <cfRule type="containsBlanks" dxfId="97" priority="100">
      <formula>LEN(TRIM(B321))=0</formula>
    </cfRule>
  </conditionalFormatting>
  <conditionalFormatting sqref="B322">
    <cfRule type="containsBlanks" dxfId="96" priority="99">
      <formula>LEN(TRIM(B322))=0</formula>
    </cfRule>
  </conditionalFormatting>
  <conditionalFormatting sqref="B325">
    <cfRule type="containsBlanks" dxfId="95" priority="98">
      <formula>LEN(TRIM(B325))=0</formula>
    </cfRule>
  </conditionalFormatting>
  <conditionalFormatting sqref="B326">
    <cfRule type="containsBlanks" dxfId="94" priority="97">
      <formula>LEN(TRIM(B326))=0</formula>
    </cfRule>
  </conditionalFormatting>
  <conditionalFormatting sqref="B329">
    <cfRule type="containsBlanks" dxfId="93" priority="96">
      <formula>LEN(TRIM(B329))=0</formula>
    </cfRule>
  </conditionalFormatting>
  <conditionalFormatting sqref="B330">
    <cfRule type="containsBlanks" dxfId="92" priority="95">
      <formula>LEN(TRIM(B330))=0</formula>
    </cfRule>
  </conditionalFormatting>
  <conditionalFormatting sqref="B333">
    <cfRule type="containsBlanks" dxfId="91" priority="94">
      <formula>LEN(TRIM(B333))=0</formula>
    </cfRule>
  </conditionalFormatting>
  <conditionalFormatting sqref="B334">
    <cfRule type="containsBlanks" dxfId="90" priority="93">
      <formula>LEN(TRIM(B334))=0</formula>
    </cfRule>
  </conditionalFormatting>
  <conditionalFormatting sqref="B337">
    <cfRule type="containsBlanks" dxfId="89" priority="92">
      <formula>LEN(TRIM(B337))=0</formula>
    </cfRule>
  </conditionalFormatting>
  <conditionalFormatting sqref="B338">
    <cfRule type="containsBlanks" dxfId="88" priority="91">
      <formula>LEN(TRIM(B338))=0</formula>
    </cfRule>
  </conditionalFormatting>
  <conditionalFormatting sqref="B341">
    <cfRule type="containsBlanks" dxfId="87" priority="90">
      <formula>LEN(TRIM(B341))=0</formula>
    </cfRule>
  </conditionalFormatting>
  <conditionalFormatting sqref="B342">
    <cfRule type="containsBlanks" dxfId="86" priority="89">
      <formula>LEN(TRIM(B342))=0</formula>
    </cfRule>
  </conditionalFormatting>
  <conditionalFormatting sqref="B42">
    <cfRule type="containsBlanks" dxfId="85" priority="85">
      <formula>LEN(TRIM(B42))=0</formula>
    </cfRule>
  </conditionalFormatting>
  <conditionalFormatting sqref="B43 B45:B46">
    <cfRule type="containsBlanks" dxfId="84" priority="84">
      <formula>LEN(TRIM(B43))=0</formula>
    </cfRule>
  </conditionalFormatting>
  <conditionalFormatting sqref="B47:B49">
    <cfRule type="containsBlanks" dxfId="83" priority="83">
      <formula>LEN(TRIM(B47))=0</formula>
    </cfRule>
  </conditionalFormatting>
  <conditionalFormatting sqref="B51">
    <cfRule type="containsBlanks" dxfId="82" priority="82">
      <formula>LEN(TRIM(B51))=0</formula>
    </cfRule>
  </conditionalFormatting>
  <conditionalFormatting sqref="B52 B54:B55">
    <cfRule type="containsBlanks" dxfId="81" priority="81">
      <formula>LEN(TRIM(B52))=0</formula>
    </cfRule>
  </conditionalFormatting>
  <conditionalFormatting sqref="B56:B58">
    <cfRule type="containsBlanks" dxfId="80" priority="80">
      <formula>LEN(TRIM(B56))=0</formula>
    </cfRule>
  </conditionalFormatting>
  <conditionalFormatting sqref="B60">
    <cfRule type="containsBlanks" dxfId="79" priority="79">
      <formula>LEN(TRIM(B60))=0</formula>
    </cfRule>
  </conditionalFormatting>
  <conditionalFormatting sqref="B61 B63:B64">
    <cfRule type="containsBlanks" dxfId="78" priority="78">
      <formula>LEN(TRIM(B61))=0</formula>
    </cfRule>
  </conditionalFormatting>
  <conditionalFormatting sqref="B65:B67">
    <cfRule type="containsBlanks" dxfId="77" priority="77">
      <formula>LEN(TRIM(B65))=0</formula>
    </cfRule>
  </conditionalFormatting>
  <conditionalFormatting sqref="B949">
    <cfRule type="containsBlanks" dxfId="76" priority="76">
      <formula>LEN(TRIM(B949))=0</formula>
    </cfRule>
  </conditionalFormatting>
  <conditionalFormatting sqref="B953">
    <cfRule type="containsBlanks" dxfId="75" priority="75">
      <formula>LEN(TRIM(B953))=0</formula>
    </cfRule>
  </conditionalFormatting>
  <conditionalFormatting sqref="B954">
    <cfRule type="containsBlanks" dxfId="74" priority="74">
      <formula>LEN(TRIM(B954))=0</formula>
    </cfRule>
  </conditionalFormatting>
  <conditionalFormatting sqref="B946">
    <cfRule type="containsBlanks" dxfId="73" priority="73">
      <formula>LEN(TRIM(B946))=0</formula>
    </cfRule>
  </conditionalFormatting>
  <conditionalFormatting sqref="B947">
    <cfRule type="containsBlanks" dxfId="72" priority="72">
      <formula>LEN(TRIM(B947))=0</formula>
    </cfRule>
  </conditionalFormatting>
  <conditionalFormatting sqref="B948">
    <cfRule type="containsBlanks" dxfId="71" priority="71">
      <formula>LEN(TRIM(B948))=0</formula>
    </cfRule>
  </conditionalFormatting>
  <conditionalFormatting sqref="B950">
    <cfRule type="containsBlanks" dxfId="70" priority="70">
      <formula>LEN(TRIM(B950))=0</formula>
    </cfRule>
  </conditionalFormatting>
  <conditionalFormatting sqref="B951">
    <cfRule type="containsBlanks" dxfId="69" priority="69">
      <formula>LEN(TRIM(B951))=0</formula>
    </cfRule>
  </conditionalFormatting>
  <conditionalFormatting sqref="B952">
    <cfRule type="containsBlanks" dxfId="68" priority="68">
      <formula>LEN(TRIM(B952))=0</formula>
    </cfRule>
  </conditionalFormatting>
  <conditionalFormatting sqref="B960">
    <cfRule type="containsBlanks" dxfId="67" priority="67">
      <formula>LEN(TRIM(B960))=0</formula>
    </cfRule>
  </conditionalFormatting>
  <conditionalFormatting sqref="B964">
    <cfRule type="containsBlanks" dxfId="66" priority="66">
      <formula>LEN(TRIM(B964))=0</formula>
    </cfRule>
  </conditionalFormatting>
  <conditionalFormatting sqref="B965">
    <cfRule type="containsBlanks" dxfId="65" priority="65">
      <formula>LEN(TRIM(B965))=0</formula>
    </cfRule>
  </conditionalFormatting>
  <conditionalFormatting sqref="B957">
    <cfRule type="containsBlanks" dxfId="64" priority="64">
      <formula>LEN(TRIM(B957))=0</formula>
    </cfRule>
  </conditionalFormatting>
  <conditionalFormatting sqref="B958">
    <cfRule type="containsBlanks" dxfId="63" priority="63">
      <formula>LEN(TRIM(B958))=0</formula>
    </cfRule>
  </conditionalFormatting>
  <conditionalFormatting sqref="B959">
    <cfRule type="containsBlanks" dxfId="62" priority="62">
      <formula>LEN(TRIM(B959))=0</formula>
    </cfRule>
  </conditionalFormatting>
  <conditionalFormatting sqref="B961">
    <cfRule type="containsBlanks" dxfId="61" priority="61">
      <formula>LEN(TRIM(B961))=0</formula>
    </cfRule>
  </conditionalFormatting>
  <conditionalFormatting sqref="B962">
    <cfRule type="containsBlanks" dxfId="60" priority="60">
      <formula>LEN(TRIM(B962))=0</formula>
    </cfRule>
  </conditionalFormatting>
  <conditionalFormatting sqref="B963">
    <cfRule type="containsBlanks" dxfId="59" priority="59">
      <formula>LEN(TRIM(B963))=0</formula>
    </cfRule>
  </conditionalFormatting>
  <conditionalFormatting sqref="B971">
    <cfRule type="containsBlanks" dxfId="58" priority="58">
      <formula>LEN(TRIM(B971))=0</formula>
    </cfRule>
  </conditionalFormatting>
  <conditionalFormatting sqref="B975">
    <cfRule type="containsBlanks" dxfId="57" priority="57">
      <formula>LEN(TRIM(B975))=0</formula>
    </cfRule>
  </conditionalFormatting>
  <conditionalFormatting sqref="B976">
    <cfRule type="containsBlanks" dxfId="56" priority="56">
      <formula>LEN(TRIM(B976))=0</formula>
    </cfRule>
  </conditionalFormatting>
  <conditionalFormatting sqref="B968">
    <cfRule type="containsBlanks" dxfId="55" priority="55">
      <formula>LEN(TRIM(B968))=0</formula>
    </cfRule>
  </conditionalFormatting>
  <conditionalFormatting sqref="B969">
    <cfRule type="containsBlanks" dxfId="54" priority="54">
      <formula>LEN(TRIM(B969))=0</formula>
    </cfRule>
  </conditionalFormatting>
  <conditionalFormatting sqref="B970">
    <cfRule type="containsBlanks" dxfId="53" priority="53">
      <formula>LEN(TRIM(B970))=0</formula>
    </cfRule>
  </conditionalFormatting>
  <conditionalFormatting sqref="B972">
    <cfRule type="containsBlanks" dxfId="52" priority="52">
      <formula>LEN(TRIM(B972))=0</formula>
    </cfRule>
  </conditionalFormatting>
  <conditionalFormatting sqref="B973">
    <cfRule type="containsBlanks" dxfId="51" priority="51">
      <formula>LEN(TRIM(B973))=0</formula>
    </cfRule>
  </conditionalFormatting>
  <conditionalFormatting sqref="B974">
    <cfRule type="containsBlanks" dxfId="50" priority="50">
      <formula>LEN(TRIM(B974))=0</formula>
    </cfRule>
  </conditionalFormatting>
  <conditionalFormatting sqref="B982">
    <cfRule type="containsBlanks" dxfId="49" priority="49">
      <formula>LEN(TRIM(B982))=0</formula>
    </cfRule>
  </conditionalFormatting>
  <conditionalFormatting sqref="B986">
    <cfRule type="containsBlanks" dxfId="48" priority="48">
      <formula>LEN(TRIM(B986))=0</formula>
    </cfRule>
  </conditionalFormatting>
  <conditionalFormatting sqref="B987">
    <cfRule type="containsBlanks" dxfId="47" priority="47">
      <formula>LEN(TRIM(B987))=0</formula>
    </cfRule>
  </conditionalFormatting>
  <conditionalFormatting sqref="B979">
    <cfRule type="containsBlanks" dxfId="46" priority="46">
      <formula>LEN(TRIM(B979))=0</formula>
    </cfRule>
  </conditionalFormatting>
  <conditionalFormatting sqref="B980">
    <cfRule type="containsBlanks" dxfId="45" priority="45">
      <formula>LEN(TRIM(B980))=0</formula>
    </cfRule>
  </conditionalFormatting>
  <conditionalFormatting sqref="B981">
    <cfRule type="containsBlanks" dxfId="44" priority="44">
      <formula>LEN(TRIM(B981))=0</formula>
    </cfRule>
  </conditionalFormatting>
  <conditionalFormatting sqref="B983">
    <cfRule type="containsBlanks" dxfId="43" priority="43">
      <formula>LEN(TRIM(B983))=0</formula>
    </cfRule>
  </conditionalFormatting>
  <conditionalFormatting sqref="B984">
    <cfRule type="containsBlanks" dxfId="42" priority="42">
      <formula>LEN(TRIM(B984))=0</formula>
    </cfRule>
  </conditionalFormatting>
  <conditionalFormatting sqref="B985">
    <cfRule type="containsBlanks" dxfId="41" priority="41">
      <formula>LEN(TRIM(B985))=0</formula>
    </cfRule>
  </conditionalFormatting>
  <conditionalFormatting sqref="B993">
    <cfRule type="containsBlanks" dxfId="40" priority="40">
      <formula>LEN(TRIM(B993))=0</formula>
    </cfRule>
  </conditionalFormatting>
  <conditionalFormatting sqref="B997">
    <cfRule type="containsBlanks" dxfId="39" priority="39">
      <formula>LEN(TRIM(B997))=0</formula>
    </cfRule>
  </conditionalFormatting>
  <conditionalFormatting sqref="B998">
    <cfRule type="containsBlanks" dxfId="38" priority="38">
      <formula>LEN(TRIM(B998))=0</formula>
    </cfRule>
  </conditionalFormatting>
  <conditionalFormatting sqref="B990">
    <cfRule type="containsBlanks" dxfId="37" priority="37">
      <formula>LEN(TRIM(B990))=0</formula>
    </cfRule>
  </conditionalFormatting>
  <conditionalFormatting sqref="B991">
    <cfRule type="containsBlanks" dxfId="36" priority="36">
      <formula>LEN(TRIM(B991))=0</formula>
    </cfRule>
  </conditionalFormatting>
  <conditionalFormatting sqref="B992">
    <cfRule type="containsBlanks" dxfId="35" priority="35">
      <formula>LEN(TRIM(B992))=0</formula>
    </cfRule>
  </conditionalFormatting>
  <conditionalFormatting sqref="B994">
    <cfRule type="containsBlanks" dxfId="34" priority="34">
      <formula>LEN(TRIM(B994))=0</formula>
    </cfRule>
  </conditionalFormatting>
  <conditionalFormatting sqref="B995">
    <cfRule type="containsBlanks" dxfId="33" priority="33">
      <formula>LEN(TRIM(B995))=0</formula>
    </cfRule>
  </conditionalFormatting>
  <conditionalFormatting sqref="B996">
    <cfRule type="containsBlanks" dxfId="32" priority="32">
      <formula>LEN(TRIM(B996))=0</formula>
    </cfRule>
  </conditionalFormatting>
  <conditionalFormatting sqref="B1004">
    <cfRule type="containsBlanks" dxfId="31" priority="31">
      <formula>LEN(TRIM(B1004))=0</formula>
    </cfRule>
  </conditionalFormatting>
  <conditionalFormatting sqref="B1008">
    <cfRule type="containsBlanks" dxfId="30" priority="30">
      <formula>LEN(TRIM(B1008))=0</formula>
    </cfRule>
  </conditionalFormatting>
  <conditionalFormatting sqref="B1009">
    <cfRule type="containsBlanks" dxfId="29" priority="29">
      <formula>LEN(TRIM(B1009))=0</formula>
    </cfRule>
  </conditionalFormatting>
  <conditionalFormatting sqref="B1001">
    <cfRule type="containsBlanks" dxfId="28" priority="28">
      <formula>LEN(TRIM(B1001))=0</formula>
    </cfRule>
  </conditionalFormatting>
  <conditionalFormatting sqref="B1002">
    <cfRule type="containsBlanks" dxfId="27" priority="27">
      <formula>LEN(TRIM(B1002))=0</formula>
    </cfRule>
  </conditionalFormatting>
  <conditionalFormatting sqref="B1003">
    <cfRule type="containsBlanks" dxfId="26" priority="26">
      <formula>LEN(TRIM(B1003))=0</formula>
    </cfRule>
  </conditionalFormatting>
  <conditionalFormatting sqref="B1005">
    <cfRule type="containsBlanks" dxfId="25" priority="25">
      <formula>LEN(TRIM(B1005))=0</formula>
    </cfRule>
  </conditionalFormatting>
  <conditionalFormatting sqref="B1006">
    <cfRule type="containsBlanks" dxfId="24" priority="24">
      <formula>LEN(TRIM(B1006))=0</formula>
    </cfRule>
  </conditionalFormatting>
  <conditionalFormatting sqref="B1007">
    <cfRule type="containsBlanks" dxfId="23" priority="23">
      <formula>LEN(TRIM(B1007))=0</formula>
    </cfRule>
  </conditionalFormatting>
  <conditionalFormatting sqref="B1015">
    <cfRule type="containsBlanks" dxfId="22" priority="22">
      <formula>LEN(TRIM(B1015))=0</formula>
    </cfRule>
  </conditionalFormatting>
  <conditionalFormatting sqref="B1019">
    <cfRule type="containsBlanks" dxfId="21" priority="21">
      <formula>LEN(TRIM(B1019))=0</formula>
    </cfRule>
  </conditionalFormatting>
  <conditionalFormatting sqref="B1020">
    <cfRule type="containsBlanks" dxfId="20" priority="20">
      <formula>LEN(TRIM(B1020))=0</formula>
    </cfRule>
  </conditionalFormatting>
  <conditionalFormatting sqref="B1012">
    <cfRule type="containsBlanks" dxfId="19" priority="19">
      <formula>LEN(TRIM(B1012))=0</formula>
    </cfRule>
  </conditionalFormatting>
  <conditionalFormatting sqref="B1013">
    <cfRule type="containsBlanks" dxfId="18" priority="18">
      <formula>LEN(TRIM(B1013))=0</formula>
    </cfRule>
  </conditionalFormatting>
  <conditionalFormatting sqref="B1014">
    <cfRule type="containsBlanks" dxfId="17" priority="17">
      <formula>LEN(TRIM(B1014))=0</formula>
    </cfRule>
  </conditionalFormatting>
  <conditionalFormatting sqref="B1016">
    <cfRule type="containsBlanks" dxfId="16" priority="16">
      <formula>LEN(TRIM(B1016))=0</formula>
    </cfRule>
  </conditionalFormatting>
  <conditionalFormatting sqref="B1017">
    <cfRule type="containsBlanks" dxfId="15" priority="15">
      <formula>LEN(TRIM(B1017))=0</formula>
    </cfRule>
  </conditionalFormatting>
  <conditionalFormatting sqref="B1018">
    <cfRule type="containsBlanks" dxfId="14" priority="14">
      <formula>LEN(TRIM(B1018))=0</formula>
    </cfRule>
  </conditionalFormatting>
  <conditionalFormatting sqref="B1026">
    <cfRule type="containsBlanks" dxfId="13" priority="13">
      <formula>LEN(TRIM(B1026))=0</formula>
    </cfRule>
  </conditionalFormatting>
  <conditionalFormatting sqref="B1030">
    <cfRule type="containsBlanks" dxfId="12" priority="12">
      <formula>LEN(TRIM(B1030))=0</formula>
    </cfRule>
  </conditionalFormatting>
  <conditionalFormatting sqref="B1031">
    <cfRule type="containsBlanks" dxfId="11" priority="11">
      <formula>LEN(TRIM(B1031))=0</formula>
    </cfRule>
  </conditionalFormatting>
  <conditionalFormatting sqref="B1023">
    <cfRule type="containsBlanks" dxfId="10" priority="10">
      <formula>LEN(TRIM(B1023))=0</formula>
    </cfRule>
  </conditionalFormatting>
  <conditionalFormatting sqref="B1024">
    <cfRule type="containsBlanks" dxfId="9" priority="9">
      <formula>LEN(TRIM(B1024))=0</formula>
    </cfRule>
  </conditionalFormatting>
  <conditionalFormatting sqref="B1025">
    <cfRule type="containsBlanks" dxfId="8" priority="8">
      <formula>LEN(TRIM(B1025))=0</formula>
    </cfRule>
  </conditionalFormatting>
  <conditionalFormatting sqref="B1027">
    <cfRule type="containsBlanks" dxfId="7" priority="7">
      <formula>LEN(TRIM(B1027))=0</formula>
    </cfRule>
  </conditionalFormatting>
  <conditionalFormatting sqref="B1028">
    <cfRule type="containsBlanks" dxfId="6" priority="6">
      <formula>LEN(TRIM(B1028))=0</formula>
    </cfRule>
  </conditionalFormatting>
  <conditionalFormatting sqref="B1029">
    <cfRule type="containsBlanks" dxfId="5" priority="5">
      <formula>LEN(TRIM(B1029))=0</formula>
    </cfRule>
  </conditionalFormatting>
  <conditionalFormatting sqref="B44">
    <cfRule type="containsBlanks" dxfId="4" priority="3">
      <formula>LEN(TRIM(B44))=0</formula>
    </cfRule>
  </conditionalFormatting>
  <conditionalFormatting sqref="B53">
    <cfRule type="containsBlanks" dxfId="3" priority="2">
      <formula>LEN(TRIM(B53))=0</formula>
    </cfRule>
  </conditionalFormatting>
  <conditionalFormatting sqref="B62">
    <cfRule type="containsBlanks" dxfId="2" priority="1">
      <formula>LEN(TRIM(B62))=0</formula>
    </cfRule>
  </conditionalFormatting>
  <dataValidations count="7">
    <dataValidation type="list" allowBlank="1" showInputMessage="1" showErrorMessage="1" sqref="B144:C144 B937:C938 B711 B916:C916 B735 B727 B719 B695 B703 B743 B679 B116:C116 B158:C158 B172:C172 B942:C943 B864:C864 B877:C877 B751 B903:C903 B890:C890 B926:C927 B687 B130:C130 B931:C932 B351:C351 B354:C355 B357:C358 B360:C361 B363:C364 B366:C367 B369:C370 B372:C373 B375:C375 B948:C949 B953:C954 B959:C960 B964:C965 B970:C971 B975:C976 B981:C982 B986:C987 B992:C993 B997:C998 B1003:C1004 B1008:C1009 B1014:C1015 B1019:C1020 B1025:C1026 B1030:C1031 B36:C36" xr:uid="{D9E8BC55-6855-4DBD-92B5-89426316F5E4}">
      <formula1>"Oui,Non"</formula1>
    </dataValidation>
    <dataValidation type="list" allowBlank="1" showInputMessage="1" showErrorMessage="1" sqref="B309:C309 H181 B305:C305 B341:C341 B337:C337 B333:C333 B329:C329 B325:C325 B313:C313 B317:C317 B321:C321 B858:C858 B871:C871 B884:C884 B897:C897 B910:C910" xr:uid="{B21C85FF-B299-4ECA-B9D0-773373EFEDC1}">
      <formula1>AccumulationNoms</formula1>
    </dataValidation>
    <dataValidation type="list" allowBlank="1" showInputMessage="1" showErrorMessage="1" sqref="I191" xr:uid="{17692EE1-4C6B-46E8-94C4-E297C4DA69CD}">
      <formula1>$F$186</formula1>
    </dataValidation>
    <dataValidation type="date" allowBlank="1" showInputMessage="1" showErrorMessage="1" sqref="B9:C9" xr:uid="{200F3A8A-0F5A-43B1-83E6-0F0D558F867F}">
      <formula1>1</formula1>
      <formula2>73415</formula2>
    </dataValidation>
    <dataValidation type="date" allowBlank="1" showInputMessage="1" showErrorMessage="1" sqref="B52:C52 B43:C43 B34:C34 B61:C61" xr:uid="{FF5F3F1B-26D6-47F0-8BB3-59A98672D989}">
      <formula1>1</formula1>
      <formula2>73050</formula2>
    </dataValidation>
    <dataValidation type="list" allowBlank="1" showInputMessage="1" showErrorMessage="1" sqref="H198 B924:C924 B935:C935 H206 B946:C946 B957:C957 B968:C968 B979:C979 B990:C990 B1001:C1001 B1012:C1012 B1023:C1023" xr:uid="{EF49DF7B-D51E-4C3F-925E-1F84446CA07A}">
      <formula1>AccumulationNoms2</formula1>
    </dataValidation>
    <dataValidation type="list" allowBlank="1" showInputMessage="1" showErrorMessage="1" sqref="H204 B523:C523 B643:C643 B538:C538 B553:C553 B568:C568 B583:C583 B598:C598 B613:C613 B628:C628 B658:C658 H217 H212" xr:uid="{539CDD64-0D7A-46A9-8B60-BE3C371BE55F}">
      <formula1>AccumulationNoms3</formula1>
    </dataValidation>
  </dataValidations>
  <pageMargins left="0.70866141732283472" right="0.70866141732283472" top="0.74803149606299213" bottom="0.74803149606299213" header="0.31496062992125984" footer="0.31496062992125984"/>
  <pageSetup scale="55" fitToHeight="15" pageOrder="overThenDown" orientation="portrait" r:id="rId1"/>
  <drawing r:id="rId2"/>
  <picture r:id="rId3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156920BD-4983-4FCD-A48A-0CF5A3ACB2FE}">
          <x14:formula1>
            <xm:f>Traduction!$C$321:$C$322</xm:f>
          </x14:formula1>
          <xm:sqref>B4:C4</xm:sqref>
        </x14:dataValidation>
        <x14:dataValidation type="list" allowBlank="1" showInputMessage="1" showErrorMessage="1" xr:uid="{4465146F-38AC-4FA7-B079-E6DCA9FA3764}">
          <x14:formula1>
            <xm:f>Traduction!$C$323:$C$324</xm:f>
          </x14:formula1>
          <xm:sqref>B5:C5</xm:sqref>
        </x14:dataValidation>
        <x14:dataValidation type="list" allowBlank="1" showInputMessage="1" showErrorMessage="1" xr:uid="{4B6735BB-A73E-443D-BB3C-3A396D3F7391}">
          <x14:formula1>
            <xm:f>Traduction!$C$325:$C$326</xm:f>
          </x14:formula1>
          <xm:sqref>B10:C10</xm:sqref>
        </x14:dataValidation>
        <x14:dataValidation type="list" allowBlank="1" showInputMessage="1" showErrorMessage="1" xr:uid="{680ABB93-8A77-4A98-A95B-665BAF0F300C}">
          <x14:formula1>
            <xm:f>Traduction!$C$318:$C$320</xm:f>
          </x14:formula1>
          <xm:sqref>B3:C3</xm:sqref>
        </x14:dataValidation>
        <x14:dataValidation type="list" allowBlank="1" showInputMessage="1" showErrorMessage="1" xr:uid="{BE1808C0-7101-453D-B7C9-395E6CB96169}">
          <x14:formula1>
            <xm:f>Traduction!$C$314:$C$315</xm:f>
          </x14:formula1>
          <xm:sqref>B14:C14 B37:C37 B53:D53 B44:D44 B35:D35 B62:D62 B338:C338 B334:C334 B330:C330 B326:C326 B322:C322 B318:C318 B314:C314 B93:C93 B86:C86 B845:C845 B342:C342 B45:C46 B54:C55 B63:C64 B80:C80 B73:C73 B103:C103 B112:C114 B126:C128 B140:C142 B154:C156 B168:C170 B187:C189 B199:C201 B211:C213 B223:C225 B235:C237 B306:C306 B310:C310 B348:C348 B379:C379 B24:C25 B393:C393 B407:C407 B421:C421 B435:C435 B449:C449 B463:C463 B477:C477 B491:C491 B521:C521 B505:C505 B536:C536 B551:C551 B566:C566 B581:C581 B596:C596 B611:C611 B626:C626 B641:C641 B673:C673 B681:C681 B689:C689 B697:C697 B705:C705 B713:C713 B721:C721 B729:C729 B737:C737 B745:C745 B755:C755 B765:C765 B775:C775 B785:C785 B795:C795 B805:C805 B815:C815 B825:C825 B835:C835 B656:C656 B247:C249 B259:C261 B271:C273 B283:C285 B295:C297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3C077-EC5B-4AA0-BB7B-A18B3780203C}">
  <sheetPr codeName="Feuil4"/>
  <dimension ref="A1:C598"/>
  <sheetViews>
    <sheetView topLeftCell="B1" zoomScaleNormal="100" workbookViewId="0">
      <pane ySplit="1" topLeftCell="A303" activePane="bottomLeft" state="frozen"/>
      <selection activeCell="G21" sqref="G21"/>
      <selection pane="bottomLeft" sqref="A1:C329"/>
    </sheetView>
  </sheetViews>
  <sheetFormatPr baseColWidth="10" defaultColWidth="10.73046875" defaultRowHeight="14.25" x14ac:dyDescent="0.45"/>
  <cols>
    <col min="1" max="1" width="70.265625" customWidth="1"/>
    <col min="2" max="2" width="53.3984375" customWidth="1"/>
    <col min="3" max="3" width="101.265625" bestFit="1" customWidth="1"/>
  </cols>
  <sheetData>
    <row r="1" spans="1:3" ht="14.65" thickBot="1" x14ac:dyDescent="0.5">
      <c r="A1" s="16" t="s">
        <v>0</v>
      </c>
      <c r="B1" s="17" t="s">
        <v>24</v>
      </c>
      <c r="C1" s="18" t="s">
        <v>25</v>
      </c>
    </row>
    <row r="2" spans="1:3" x14ac:dyDescent="0.45">
      <c r="A2" s="21" t="s">
        <v>26</v>
      </c>
      <c r="B2" s="22" t="s">
        <v>27</v>
      </c>
      <c r="C2" s="23" t="str">
        <f>IF(Filtres!$B$5="Français",Traduction!A2,Traduction!B2)</f>
        <v>Optimisation fiscale</v>
      </c>
    </row>
    <row r="3" spans="1:3" x14ac:dyDescent="0.45">
      <c r="A3" s="19" t="s">
        <v>28</v>
      </c>
      <c r="B3" s="15" t="s">
        <v>29</v>
      </c>
      <c r="C3" s="20" t="str">
        <f>IF(Filtres!$B$5="Français",Traduction!A3,Traduction!B3)</f>
        <v>Veuillez sélectionner tous les éléments applicables et ensuite remplir le questionnaire</v>
      </c>
    </row>
    <row r="4" spans="1:3" x14ac:dyDescent="0.45">
      <c r="A4" s="19" t="s">
        <v>30</v>
      </c>
      <c r="B4" s="15" t="s">
        <v>31</v>
      </c>
      <c r="C4" s="20" t="str">
        <f>IF(Filtres!$B$5="Français",Traduction!A4,Traduction!B4)</f>
        <v>Langue</v>
      </c>
    </row>
    <row r="5" spans="1:3" x14ac:dyDescent="0.45">
      <c r="A5" s="19" t="s">
        <v>32</v>
      </c>
      <c r="B5" s="15" t="s">
        <v>33</v>
      </c>
      <c r="C5" s="20" t="str">
        <f>IF(Filtres!$B$5="Français",Traduction!A5,Traduction!B5)</f>
        <v>Nombre de clients</v>
      </c>
    </row>
    <row r="6" spans="1:3" x14ac:dyDescent="0.45">
      <c r="A6" s="19" t="s">
        <v>34</v>
      </c>
      <c r="B6" s="15" t="s">
        <v>35</v>
      </c>
      <c r="C6" s="20" t="str">
        <f>IF(Filtres!$B$5="Français",Traduction!A6,Traduction!B6)</f>
        <v>Nombre d'enfants à charge</v>
      </c>
    </row>
    <row r="7" spans="1:3" x14ac:dyDescent="0.45">
      <c r="A7" s="19" t="s">
        <v>36</v>
      </c>
      <c r="B7" s="15" t="s">
        <v>37</v>
      </c>
      <c r="C7" s="20" t="str">
        <f>IF(Filtres!$B$5="Français",Traduction!A7,Traduction!B7)</f>
        <v>Un des clients possède une ou plusieurs sociétés</v>
      </c>
    </row>
    <row r="8" spans="1:3" x14ac:dyDescent="0.45">
      <c r="A8" s="19" t="s">
        <v>38</v>
      </c>
      <c r="B8" s="15" t="s">
        <v>39</v>
      </c>
      <c r="C8" s="20" t="str">
        <f>IF(Filtres!$B$5="Français",Traduction!A8,Traduction!B8)</f>
        <v>Un des clients est salarié (en dehors de son entreprise ou de celle de son conjoint)</v>
      </c>
    </row>
    <row r="9" spans="1:3" x14ac:dyDescent="0.45">
      <c r="A9" s="19" t="s">
        <v>40</v>
      </c>
      <c r="B9" s="15" t="s">
        <v>41</v>
      </c>
      <c r="C9" s="20" t="str">
        <f>IF(Filtres!$B$5="Français",Traduction!A9,Traduction!B9)</f>
        <v>Un des clients possède un fonds de pension</v>
      </c>
    </row>
    <row r="10" spans="1:3" x14ac:dyDescent="0.45">
      <c r="A10" s="19" t="s">
        <v>42</v>
      </c>
      <c r="B10" s="15" t="s">
        <v>43</v>
      </c>
      <c r="C10" s="20" t="str">
        <f>IF(Filtres!$B$5="Français",Traduction!A10,Traduction!B10)</f>
        <v>Le conjoint possède un fonds de pension différent du client</v>
      </c>
    </row>
    <row r="11" spans="1:3" x14ac:dyDescent="0.45">
      <c r="A11" s="19" t="s">
        <v>44</v>
      </c>
      <c r="B11" s="15" t="s">
        <v>45</v>
      </c>
      <c r="C11" s="20" t="str">
        <f>IF(Filtres!$B$5="Français",Traduction!A11,Traduction!B11)</f>
        <v>Un des clients possède un RPDB</v>
      </c>
    </row>
    <row r="12" spans="1:3" x14ac:dyDescent="0.45">
      <c r="A12" s="19" t="s">
        <v>46</v>
      </c>
      <c r="B12" s="15" t="s">
        <v>47</v>
      </c>
      <c r="C12" s="20" t="str">
        <f>IF(Filtres!$B$5="Français",Traduction!A12,Traduction!B12)</f>
        <v>Un des clients possède un RR-E ou un RRI</v>
      </c>
    </row>
    <row r="13" spans="1:3" x14ac:dyDescent="0.45">
      <c r="A13" s="19" t="s">
        <v>48</v>
      </c>
      <c r="B13" s="15" t="s">
        <v>49</v>
      </c>
      <c r="C13" s="20" t="str">
        <f>IF(Filtres!$B$5="Français",Traduction!A13,Traduction!B13)</f>
        <v>Un des clients est travailleur autonome</v>
      </c>
    </row>
    <row r="14" spans="1:3" x14ac:dyDescent="0.45">
      <c r="A14" s="19" t="s">
        <v>50</v>
      </c>
      <c r="B14" s="15" t="s">
        <v>51</v>
      </c>
      <c r="C14" s="20" t="str">
        <f>IF(Filtres!$B$5="Français",Traduction!A14,Traduction!B14)</f>
        <v>Nombre de société(s) de gestion</v>
      </c>
    </row>
    <row r="15" spans="1:3" x14ac:dyDescent="0.45">
      <c r="A15" s="19" t="s">
        <v>52</v>
      </c>
      <c r="B15" s="15" t="s">
        <v>53</v>
      </c>
      <c r="C15" s="20" t="str">
        <f>IF(Filtres!$B$5="Français",Traduction!A15,Traduction!B15)</f>
        <v>Nombre de société(s) opérante(s)</v>
      </c>
    </row>
    <row r="16" spans="1:3" x14ac:dyDescent="0.45">
      <c r="A16" s="19" t="s">
        <v>54</v>
      </c>
      <c r="B16" s="15" t="s">
        <v>55</v>
      </c>
      <c r="C16" s="20" t="str">
        <f>IF(Filtres!$B$5="Français",Traduction!A16,Traduction!B16)</f>
        <v>Nombre de fiducie(s)</v>
      </c>
    </row>
    <row r="17" spans="1:3" x14ac:dyDescent="0.45">
      <c r="A17" s="19" t="s">
        <v>56</v>
      </c>
      <c r="B17" s="15" t="s">
        <v>57</v>
      </c>
      <c r="C17" s="20" t="str">
        <f>IF(Filtres!$B$5="Français",Traduction!A17,Traduction!B17)</f>
        <v>Nombre de société(s) en nom collectif (S.E.N.C)</v>
      </c>
    </row>
    <row r="18" spans="1:3" x14ac:dyDescent="0.45">
      <c r="A18" s="19" t="s">
        <v>58</v>
      </c>
      <c r="B18" s="15" t="s">
        <v>59</v>
      </c>
      <c r="C18" s="20" t="str">
        <f>IF(Filtres!$B$5="Français",Traduction!A18,Traduction!B18)</f>
        <v>Nombre d'immeubles à revenus détenus personnellement par l'un des clients</v>
      </c>
    </row>
    <row r="19" spans="1:3" x14ac:dyDescent="0.45">
      <c r="A19" s="19" t="s">
        <v>60</v>
      </c>
      <c r="B19" s="15" t="s">
        <v>61</v>
      </c>
      <c r="C19" s="20" t="str">
        <f>IF(Filtres!$B$5="Français",Traduction!A19,Traduction!B19)</f>
        <v>Nombre d'immeubles à revenus détenus dans une société par l'un des clients</v>
      </c>
    </row>
    <row r="20" spans="1:3" x14ac:dyDescent="0.45">
      <c r="A20" s="19" t="s">
        <v>62</v>
      </c>
      <c r="B20" s="15" t="s">
        <v>63</v>
      </c>
      <c r="C20" s="20" t="str">
        <f>IF(Filtres!$B$5="Français",Traduction!A20,Traduction!B20)</f>
        <v xml:space="preserve">Nombre de polices d'assurance-vie personnelles détenues par les clients </v>
      </c>
    </row>
    <row r="21" spans="1:3" x14ac:dyDescent="0.45">
      <c r="A21" s="19" t="s">
        <v>64</v>
      </c>
      <c r="B21" s="15" t="s">
        <v>65</v>
      </c>
      <c r="C21" s="20" t="str">
        <f>IF(Filtres!$B$5="Français",Traduction!A21,Traduction!B21)</f>
        <v>Nombre de polices d'assurances corporatives détenues par les sociétés (invalidité, vie, R.E.S)</v>
      </c>
    </row>
    <row r="22" spans="1:3" x14ac:dyDescent="0.45">
      <c r="A22" s="19" t="s">
        <v>66</v>
      </c>
      <c r="B22" s="15" t="s">
        <v>67</v>
      </c>
      <c r="C22" s="20" t="str">
        <f>IF(Filtres!$B$5="Français",Traduction!A22,Traduction!B22)</f>
        <v>Nombre d'autres actifs (détenus personnellement et corporativement) excluant les immeubles à revenus</v>
      </c>
    </row>
    <row r="23" spans="1:3" x14ac:dyDescent="0.45">
      <c r="A23" s="19" t="s">
        <v>68</v>
      </c>
      <c r="B23" s="15" t="s">
        <v>69</v>
      </c>
      <c r="C23" s="20" t="str">
        <f>IF(Filtres!$B$5="Français",Traduction!A23,Traduction!B23)</f>
        <v>Je joins une copie des relevés de cotisation détaillé au RRQ/RPC pour chacun des clients</v>
      </c>
    </row>
    <row r="24" spans="1:3" x14ac:dyDescent="0.45">
      <c r="A24" s="19" t="s">
        <v>70</v>
      </c>
      <c r="B24" s="15" t="s">
        <v>71</v>
      </c>
      <c r="C24" s="20" t="str">
        <f>IF(Filtres!$B$5="Français",Traduction!A24,Traduction!B24)</f>
        <v>J'aimerais effectuer une optimisation salaire/dividendes (relevé détaillé des cotisations RRQ requis)</v>
      </c>
    </row>
    <row r="25" spans="1:3" x14ac:dyDescent="0.45">
      <c r="A25" s="19" t="s">
        <v>72</v>
      </c>
      <c r="B25" s="15" t="s">
        <v>73</v>
      </c>
      <c r="C25" s="20" t="str">
        <f>IF(Filtres!$B$5="Français",Traduction!A25,Traduction!B25)</f>
        <v>J'aimerais illustrer la vente d'une ou plusieurs entreprises dans les projections</v>
      </c>
    </row>
    <row r="26" spans="1:3" x14ac:dyDescent="0.45">
      <c r="A26" s="19" t="s">
        <v>74</v>
      </c>
      <c r="B26" s="15" t="s">
        <v>75</v>
      </c>
      <c r="C26" s="20" t="str">
        <f>IF(Filtres!$B$5="Français",Traduction!A26,Traduction!B26)</f>
        <v>Le(s) client(s) prévoit(ent) combien de dépenses extraordinaires dans les prochaines années</v>
      </c>
    </row>
    <row r="27" spans="1:3" x14ac:dyDescent="0.45">
      <c r="A27" s="19" t="s">
        <v>76</v>
      </c>
      <c r="B27" s="15" t="s">
        <v>77</v>
      </c>
      <c r="C27" s="20" t="str">
        <f>IF(Filtres!$B$5="Français",Traduction!A27,Traduction!B27)</f>
        <v>Le(s) client(s) prévoit(ent) combien d'entrées d'argent extraordinaires dans les prochaines années (ex.: héritage)</v>
      </c>
    </row>
    <row r="28" spans="1:3" x14ac:dyDescent="0.45">
      <c r="A28" s="19" t="s">
        <v>78</v>
      </c>
      <c r="B28" s="15" t="s">
        <v>79</v>
      </c>
      <c r="C28" s="20" t="str">
        <f>IF(Filtres!$B$5="Français",Traduction!A28,Traduction!B28)</f>
        <v>Ajouter des concepts complémentaires</v>
      </c>
    </row>
    <row r="29" spans="1:3" x14ac:dyDescent="0.45">
      <c r="A29" s="19" t="s">
        <v>80</v>
      </c>
      <c r="B29" s="15" t="s">
        <v>81</v>
      </c>
      <c r="C29" s="20" t="str">
        <f>IF(Filtres!$B$5="Français",Traduction!A29,Traduction!B29)</f>
        <v>Assurance vie personnelle (nouvelle)</v>
      </c>
    </row>
    <row r="30" spans="1:3" x14ac:dyDescent="0.45">
      <c r="A30" s="19" t="s">
        <v>82</v>
      </c>
      <c r="B30" s="15" t="s">
        <v>83</v>
      </c>
      <c r="C30" s="20" t="str">
        <f>IF(Filtres!$B$5="Français",Traduction!A30,Traduction!B30)</f>
        <v>Assurance vie corporative (nouvelle)</v>
      </c>
    </row>
    <row r="31" spans="1:3" x14ac:dyDescent="0.45">
      <c r="A31" s="19" t="s">
        <v>84</v>
      </c>
      <c r="B31" s="15" t="s">
        <v>85</v>
      </c>
      <c r="C31" s="20" t="str">
        <f>IF(Filtres!$B$5="Français",Traduction!A31,Traduction!B31)</f>
        <v>R.E.S. (nouveau)</v>
      </c>
    </row>
    <row r="32" spans="1:3" x14ac:dyDescent="0.45">
      <c r="A32" s="19" t="s">
        <v>86</v>
      </c>
      <c r="B32" s="15" t="s">
        <v>87</v>
      </c>
      <c r="C32" s="20" t="str">
        <f>IF(Filtres!$B$5="Français",Traduction!A32,Traduction!B32)</f>
        <v>RR-E (nouveau)</v>
      </c>
    </row>
    <row r="33" spans="1:3" ht="14.65" thickBot="1" x14ac:dyDescent="0.5">
      <c r="A33" s="25" t="s">
        <v>88</v>
      </c>
      <c r="B33" s="26" t="s">
        <v>89</v>
      </c>
      <c r="C33" s="27" t="str">
        <f>IF(Filtres!$B$5="Français",Traduction!A33,Traduction!B33)</f>
        <v>Rente (nouvelle)</v>
      </c>
    </row>
    <row r="34" spans="1:3" x14ac:dyDescent="0.45">
      <c r="A34" s="29" t="s">
        <v>90</v>
      </c>
      <c r="B34" s="30" t="s">
        <v>91</v>
      </c>
      <c r="C34" s="31" t="str">
        <f>IF(Filtres!$B$5="Français",Traduction!A34,Traduction!B34)</f>
        <v>Statut</v>
      </c>
    </row>
    <row r="35" spans="1:3" x14ac:dyDescent="0.45">
      <c r="A35" s="32" t="s">
        <v>92</v>
      </c>
      <c r="B35" s="33" t="s">
        <v>93</v>
      </c>
      <c r="C35" s="34" t="str">
        <f>IF(Filtres!$B$5="Français",Traduction!A35,Traduction!B35)</f>
        <v>Sexe</v>
      </c>
    </row>
    <row r="36" spans="1:3" x14ac:dyDescent="0.45">
      <c r="A36" s="32" t="s">
        <v>94</v>
      </c>
      <c r="B36" s="33" t="s">
        <v>95</v>
      </c>
      <c r="C36" s="34" t="str">
        <f>IF(Filtres!$B$5="Français",Traduction!A36,Traduction!B36)</f>
        <v>Nom complet</v>
      </c>
    </row>
    <row r="37" spans="1:3" x14ac:dyDescent="0.45">
      <c r="A37" s="32" t="s">
        <v>96</v>
      </c>
      <c r="B37" s="33" t="s">
        <v>97</v>
      </c>
      <c r="C37" s="34" t="str">
        <f>IF(Filtres!$B$5="Français",Traduction!A37,Traduction!B37)</f>
        <v>Date de naissance (aaaa-mm-jj)</v>
      </c>
    </row>
    <row r="38" spans="1:3" x14ac:dyDescent="0.45">
      <c r="A38" s="32" t="s">
        <v>98</v>
      </c>
      <c r="B38" s="33" t="s">
        <v>99</v>
      </c>
      <c r="C38" s="34" t="str">
        <f>IF(Filtres!$B$5="Français",Traduction!A38,Traduction!B38)</f>
        <v>Fumeur ou non fumeur</v>
      </c>
    </row>
    <row r="39" spans="1:3" x14ac:dyDescent="0.45">
      <c r="A39" s="32" t="s">
        <v>100</v>
      </c>
      <c r="B39" s="33" t="s">
        <v>101</v>
      </c>
      <c r="C39" s="34" t="str">
        <f>IF(Filtres!$B$5="Français",Traduction!A39,Traduction!B39)</f>
        <v>Coût de vie du ménage permanent avant la retraite ($) net</v>
      </c>
    </row>
    <row r="40" spans="1:3" x14ac:dyDescent="0.45">
      <c r="A40" s="32" t="s">
        <v>102</v>
      </c>
      <c r="B40" s="33" t="s">
        <v>103</v>
      </c>
      <c r="C40" s="34" t="str">
        <f>IF(Filtres!$B$5="Français",Traduction!A40,Traduction!B40)</f>
        <v>Coût de vie du ménage permanent à la retraite ($) net</v>
      </c>
    </row>
    <row r="41" spans="1:3" x14ac:dyDescent="0.45">
      <c r="A41" s="32" t="s">
        <v>104</v>
      </c>
      <c r="B41" s="33" t="s">
        <v>105</v>
      </c>
      <c r="C41" s="34" t="str">
        <f>IF(Filtres!$B$5="Français",Traduction!A41,Traduction!B41)</f>
        <v xml:space="preserve">Année de retraite </v>
      </c>
    </row>
    <row r="42" spans="1:3" x14ac:dyDescent="0.45">
      <c r="A42" s="32" t="s">
        <v>106</v>
      </c>
      <c r="B42" s="33" t="s">
        <v>107</v>
      </c>
      <c r="C42" s="34" t="str">
        <f>IF(Filtres!$B$5="Français",Traduction!A42,Traduction!B42)</f>
        <v>Je joins une copie de tous les relevés de placements personnels</v>
      </c>
    </row>
    <row r="43" spans="1:3" x14ac:dyDescent="0.45">
      <c r="A43" s="32" t="s">
        <v>108</v>
      </c>
      <c r="B43" s="33" t="s">
        <v>109</v>
      </c>
      <c r="C43" s="34" t="str">
        <f>IF(Filtres!$B$5="Français",Traduction!A43,Traduction!B43)</f>
        <v>Solde REER total</v>
      </c>
    </row>
    <row r="44" spans="1:3" x14ac:dyDescent="0.45">
      <c r="A44" s="32" t="s">
        <v>110</v>
      </c>
      <c r="B44" s="33" t="s">
        <v>111</v>
      </c>
      <c r="C44" s="34" t="str">
        <f>IF(Filtres!$B$5="Français",Traduction!A44,Traduction!B44)</f>
        <v>Solde CÉLI total</v>
      </c>
    </row>
    <row r="45" spans="1:3" x14ac:dyDescent="0.45">
      <c r="A45" s="32" t="s">
        <v>112</v>
      </c>
      <c r="B45" s="33" t="s">
        <v>113</v>
      </c>
      <c r="C45" s="34" t="str">
        <f>IF(Filtres!$B$5="Français",Traduction!A45,Traduction!B45)</f>
        <v>Solde non-enregistré total</v>
      </c>
    </row>
    <row r="46" spans="1:3" x14ac:dyDescent="0.45">
      <c r="A46" s="32" t="s">
        <v>114</v>
      </c>
      <c r="B46" s="33" t="s">
        <v>115</v>
      </c>
      <c r="C46" s="34" t="str">
        <f>IF(Filtres!$B$5="Français",Traduction!A46,Traduction!B46)</f>
        <v>Valeur comptable totale des comptes non-enregistrés</v>
      </c>
    </row>
    <row r="47" spans="1:3" x14ac:dyDescent="0.45">
      <c r="A47" s="32" t="s">
        <v>116</v>
      </c>
      <c r="B47" s="33" t="s">
        <v>117</v>
      </c>
      <c r="C47" s="34" t="str">
        <f>IF(Filtres!$B$5="Français",Traduction!A47,Traduction!B47)</f>
        <v>Solde total FERR</v>
      </c>
    </row>
    <row r="48" spans="1:3" x14ac:dyDescent="0.45">
      <c r="A48" s="32" t="s">
        <v>118</v>
      </c>
      <c r="B48" s="33" t="s">
        <v>119</v>
      </c>
      <c r="C48" s="34" t="str">
        <f>IF(Filtres!$B$5="Français",Traduction!A48,Traduction!B48)</f>
        <v>Solde total FRV</v>
      </c>
    </row>
    <row r="49" spans="1:3" x14ac:dyDescent="0.45">
      <c r="A49" s="32" t="s">
        <v>120</v>
      </c>
      <c r="B49" s="33" t="s">
        <v>121</v>
      </c>
      <c r="C49" s="34" t="str">
        <f>IF(Filtres!$B$5="Français",Traduction!A49,Traduction!B49)</f>
        <v>Solde total CRI</v>
      </c>
    </row>
    <row r="50" spans="1:3" x14ac:dyDescent="0.45">
      <c r="A50" s="32" t="s">
        <v>122</v>
      </c>
      <c r="B50" s="33" t="s">
        <v>123</v>
      </c>
      <c r="C50" s="34" t="str">
        <f>IF(Filtres!$B$5="Français",Traduction!A50,Traduction!B50)</f>
        <v>Droits de cotisation REER pour l'année en cours</v>
      </c>
    </row>
    <row r="51" spans="1:3" x14ac:dyDescent="0.45">
      <c r="A51" s="32" t="s">
        <v>124</v>
      </c>
      <c r="B51" s="33" t="s">
        <v>125</v>
      </c>
      <c r="C51" s="34" t="str">
        <f>IF(Filtres!$B$5="Français",Traduction!A51,Traduction!B51)</f>
        <v>Droits de cotisation CÉLI pour l'année en cours</v>
      </c>
    </row>
    <row r="52" spans="1:3" x14ac:dyDescent="0.45">
      <c r="A52" s="32" t="s">
        <v>126</v>
      </c>
      <c r="B52" s="33" t="s">
        <v>127</v>
      </c>
      <c r="C52" s="34" t="str">
        <f>IF(Filtres!$B$5="Français",Traduction!A52,Traduction!B52)</f>
        <v>Je joins une copie de la déclaration de revenus (fédérale)</v>
      </c>
    </row>
    <row r="53" spans="1:3" x14ac:dyDescent="0.45">
      <c r="A53" s="32" t="s">
        <v>128</v>
      </c>
      <c r="B53" s="33" t="s">
        <v>129</v>
      </c>
      <c r="C53" s="34" t="str">
        <f>IF(Filtres!$B$5="Français",Traduction!A53,Traduction!B53)</f>
        <v>Je joins une copie de l'avis de cotisation (fédéral)</v>
      </c>
    </row>
    <row r="54" spans="1:3" x14ac:dyDescent="0.45">
      <c r="A54" s="32" t="s">
        <v>130</v>
      </c>
      <c r="B54" s="33" t="s">
        <v>131</v>
      </c>
      <c r="C54" s="34" t="str">
        <f>IF(Filtres!$B$5="Français",Traduction!A54,Traduction!B54)</f>
        <v>Rente RRQ/RPC actuellement reçue</v>
      </c>
    </row>
    <row r="55" spans="1:3" x14ac:dyDescent="0.45">
      <c r="A55" s="32" t="s">
        <v>132</v>
      </c>
      <c r="B55" s="33" t="s">
        <v>133</v>
      </c>
      <c r="C55" s="34" t="str">
        <f>IF(Filtres!$B$5="Français",Traduction!A55,Traduction!B55)</f>
        <v>Enfant(s) à charge</v>
      </c>
    </row>
    <row r="56" spans="1:3" x14ac:dyDescent="0.45">
      <c r="A56" s="32" t="s">
        <v>134</v>
      </c>
      <c r="B56" s="33" t="s">
        <v>135</v>
      </c>
      <c r="C56" s="34" t="str">
        <f>IF(Filtres!$B$5="Français",Traduction!A56,Traduction!B56)</f>
        <v>Enfant 1</v>
      </c>
    </row>
    <row r="57" spans="1:3" x14ac:dyDescent="0.45">
      <c r="A57" s="32" t="s">
        <v>136</v>
      </c>
      <c r="B57" s="33" t="s">
        <v>137</v>
      </c>
      <c r="C57" s="34" t="str">
        <f>IF(Filtres!$B$5="Français",Traduction!A57,Traduction!B57)</f>
        <v>Enfant 2</v>
      </c>
    </row>
    <row r="58" spans="1:3" x14ac:dyDescent="0.45">
      <c r="A58" s="32" t="s">
        <v>138</v>
      </c>
      <c r="B58" s="33" t="s">
        <v>139</v>
      </c>
      <c r="C58" s="34" t="str">
        <f>IF(Filtres!$B$5="Français",Traduction!A58,Traduction!B58)</f>
        <v>Enfant 3</v>
      </c>
    </row>
    <row r="59" spans="1:3" x14ac:dyDescent="0.45">
      <c r="A59" s="32" t="s">
        <v>140</v>
      </c>
      <c r="B59" s="33" t="s">
        <v>141</v>
      </c>
      <c r="C59" s="34" t="str">
        <f>IF(Filtres!$B$5="Français",Traduction!A59,Traduction!B59)</f>
        <v>Enfant 4</v>
      </c>
    </row>
    <row r="60" spans="1:3" x14ac:dyDescent="0.45">
      <c r="A60" s="32" t="s">
        <v>142</v>
      </c>
      <c r="B60" s="33" t="s">
        <v>143</v>
      </c>
      <c r="C60" s="34" t="str">
        <f>IF(Filtres!$B$5="Français",Traduction!A60,Traduction!B60)</f>
        <v>Nom</v>
      </c>
    </row>
    <row r="61" spans="1:3" x14ac:dyDescent="0.45">
      <c r="A61" s="32" t="s">
        <v>96</v>
      </c>
      <c r="B61" s="33" t="s">
        <v>97</v>
      </c>
      <c r="C61" s="34" t="str">
        <f>IF(Filtres!$B$5="Français",Traduction!A61,Traduction!B61)</f>
        <v>Date de naissance (aaaa-mm-jj)</v>
      </c>
    </row>
    <row r="62" spans="1:3" x14ac:dyDescent="0.45">
      <c r="A62" s="32" t="s">
        <v>144</v>
      </c>
      <c r="B62" s="33" t="s">
        <v>145</v>
      </c>
      <c r="C62" s="34" t="str">
        <f>IF(Filtres!$B$5="Français",Traduction!A62,Traduction!B62)</f>
        <v>Cet enfant est en garde partagée</v>
      </c>
    </row>
    <row r="63" spans="1:3" x14ac:dyDescent="0.45">
      <c r="A63" s="32" t="s">
        <v>146</v>
      </c>
      <c r="B63" s="33" t="s">
        <v>147</v>
      </c>
      <c r="C63" s="34" t="str">
        <f>IF(Filtres!$B$5="Français",Traduction!A63,Traduction!B63)</f>
        <v>Cet enfant fréquente/fréquentera une garderie subventionnée</v>
      </c>
    </row>
    <row r="64" spans="1:3" x14ac:dyDescent="0.45">
      <c r="A64" s="32" t="s">
        <v>148</v>
      </c>
      <c r="B64" s="33" t="s">
        <v>149</v>
      </c>
      <c r="C64" s="34" t="str">
        <f>IF(Filtres!$B$5="Français",Traduction!A64,Traduction!B64)</f>
        <v>Cet enfant fréquente/fréquentera une garderie non-subventionnée</v>
      </c>
    </row>
    <row r="65" spans="1:3" x14ac:dyDescent="0.45">
      <c r="A65" s="32" t="s">
        <v>150</v>
      </c>
      <c r="B65" s="33" t="s">
        <v>151</v>
      </c>
      <c r="C65" s="34" t="str">
        <f>IF(Filtres!$B$5="Français",Traduction!A65,Traduction!B65)</f>
        <v>Date de début (aaaa-mm-jj)</v>
      </c>
    </row>
    <row r="66" spans="1:3" x14ac:dyDescent="0.45">
      <c r="A66" s="32" t="s">
        <v>152</v>
      </c>
      <c r="B66" s="33" t="s">
        <v>153</v>
      </c>
      <c r="C66" s="34" t="str">
        <f>IF(Filtres!$B$5="Français",Traduction!A66,Traduction!B66)</f>
        <v>Date de fin (aaaa-mm-jj)</v>
      </c>
    </row>
    <row r="67" spans="1:3" x14ac:dyDescent="0.45">
      <c r="A67" s="32" t="s">
        <v>154</v>
      </c>
      <c r="B67" s="33" t="s">
        <v>155</v>
      </c>
      <c r="C67" s="34" t="str">
        <f>IF(Filtres!$B$5="Français",Traduction!A67,Traduction!B67)</f>
        <v>Coût par jour ($)</v>
      </c>
    </row>
    <row r="68" spans="1:3" x14ac:dyDescent="0.45">
      <c r="A68" s="32" t="s">
        <v>156</v>
      </c>
      <c r="B68" s="33" t="s">
        <v>157</v>
      </c>
      <c r="C68" s="34" t="str">
        <f>IF(Filtres!$B$5="Français",Traduction!A68,Traduction!B68)</f>
        <v>Salarié</v>
      </c>
    </row>
    <row r="69" spans="1:3" x14ac:dyDescent="0.45">
      <c r="A69" s="32" t="s">
        <v>158</v>
      </c>
      <c r="B69" s="33" t="s">
        <v>159</v>
      </c>
      <c r="C69" s="34" t="str">
        <f>IF(Filtres!$B$5="Français",Traduction!A69,Traduction!B69)</f>
        <v>Revenu d'emploi ($)</v>
      </c>
    </row>
    <row r="70" spans="1:3" x14ac:dyDescent="0.45">
      <c r="A70" s="32" t="s">
        <v>160</v>
      </c>
      <c r="B70" s="33" t="s">
        <v>161</v>
      </c>
      <c r="C70" s="34" t="str">
        <f>IF(Filtres!$B$5="Français",Traduction!A70,Traduction!B70)</f>
        <v>Fonds de pension à prestations déterminées</v>
      </c>
    </row>
    <row r="71" spans="1:3" x14ac:dyDescent="0.45">
      <c r="A71" s="32" t="s">
        <v>162</v>
      </c>
      <c r="B71" s="33" t="s">
        <v>163</v>
      </c>
      <c r="C71" s="34" t="str">
        <f>IF(Filtres!$B$5="Français",Traduction!A71,Traduction!B71)</f>
        <v>Je joins le relevé du fonds de pension contenant les informations ci-bas</v>
      </c>
    </row>
    <row r="72" spans="1:3" x14ac:dyDescent="0.45">
      <c r="A72" s="32" t="s">
        <v>164</v>
      </c>
      <c r="B72" s="33" t="s">
        <v>165</v>
      </c>
      <c r="C72" s="34" t="str">
        <f>IF(Filtres!$B$5="Français",Traduction!A72,Traduction!B72)</f>
        <v>Cotisations annuelles de l'employé au fonds de pension</v>
      </c>
    </row>
    <row r="73" spans="1:3" x14ac:dyDescent="0.45">
      <c r="A73" s="32" t="s">
        <v>166</v>
      </c>
      <c r="B73" s="33" t="s">
        <v>167</v>
      </c>
      <c r="C73" s="34" t="str">
        <f>IF(Filtres!$B$5="Français",Traduction!A73,Traduction!B73)</f>
        <v>Facteur d'équivalence ($)</v>
      </c>
    </row>
    <row r="74" spans="1:3" x14ac:dyDescent="0.45">
      <c r="A74" s="32" t="s">
        <v>168</v>
      </c>
      <c r="B74" s="33" t="s">
        <v>169</v>
      </c>
      <c r="C74" s="34" t="str">
        <f>IF(Filtres!$B$5="Français",Traduction!A74,Traduction!B74)</f>
        <v>Montant de la rente annuelle avant coordination ($)</v>
      </c>
    </row>
    <row r="75" spans="1:3" x14ac:dyDescent="0.45">
      <c r="A75" s="32" t="s">
        <v>170</v>
      </c>
      <c r="B75" s="33" t="s">
        <v>171</v>
      </c>
      <c r="C75" s="34" t="str">
        <f>IF(Filtres!$B$5="Français",Traduction!A75,Traduction!B75)</f>
        <v>Montant de la rente annuelle après coordination ($)</v>
      </c>
    </row>
    <row r="76" spans="1:3" x14ac:dyDescent="0.45">
      <c r="A76" s="32" t="s">
        <v>172</v>
      </c>
      <c r="B76" s="33" t="s">
        <v>173</v>
      </c>
      <c r="C76" s="34" t="str">
        <f>IF(Filtres!$B$5="Français",Traduction!A76,Traduction!B76)</f>
        <v>Fonds de pension à cotisations déterminées</v>
      </c>
    </row>
    <row r="77" spans="1:3" x14ac:dyDescent="0.45">
      <c r="A77" s="32" t="s">
        <v>174</v>
      </c>
      <c r="B77" s="33" t="s">
        <v>175</v>
      </c>
      <c r="C77" s="34" t="str">
        <f>IF(Filtres!$B$5="Français",Traduction!A77,Traduction!B77)</f>
        <v>Cotisations annuelles de l'employeur au fonds de pension</v>
      </c>
    </row>
    <row r="78" spans="1:3" x14ac:dyDescent="0.45">
      <c r="A78" s="32" t="s">
        <v>176</v>
      </c>
      <c r="B78" s="33" t="s">
        <v>177</v>
      </c>
      <c r="C78" s="34" t="str">
        <f>IF(Filtres!$B$5="Français",Traduction!A78,Traduction!B78)</f>
        <v>Solde du compte ($)</v>
      </c>
    </row>
    <row r="79" spans="1:3" x14ac:dyDescent="0.45">
      <c r="A79" s="32" t="s">
        <v>178</v>
      </c>
      <c r="B79" s="33" t="s">
        <v>179</v>
      </c>
      <c r="C79" s="34" t="str">
        <f>IF(Filtres!$B$5="Français",Traduction!A79,Traduction!B79)</f>
        <v>RPDB</v>
      </c>
    </row>
    <row r="80" spans="1:3" x14ac:dyDescent="0.45">
      <c r="A80" s="32" t="s">
        <v>180</v>
      </c>
      <c r="B80" s="33" t="s">
        <v>181</v>
      </c>
      <c r="C80" s="34" t="str">
        <f>IF(Filtres!$B$5="Français",Traduction!A80,Traduction!B80)</f>
        <v>Valeur actuelle du régime</v>
      </c>
    </row>
    <row r="81" spans="1:3" x14ac:dyDescent="0.45">
      <c r="A81" s="32" t="s">
        <v>182</v>
      </c>
      <c r="B81" s="33" t="s">
        <v>183</v>
      </c>
      <c r="C81" s="34" t="str">
        <f>IF(Filtres!$B$5="Français",Traduction!A81,Traduction!B81)</f>
        <v>RR-E/RRI</v>
      </c>
    </row>
    <row r="82" spans="1:3" x14ac:dyDescent="0.45">
      <c r="A82" s="32" t="s">
        <v>184</v>
      </c>
      <c r="B82" s="33" t="s">
        <v>185</v>
      </c>
      <c r="C82" s="34" t="str">
        <f>IF(Filtres!$B$5="Français",Traduction!A82,Traduction!B82)</f>
        <v>Je joins une copie du relevé de placement</v>
      </c>
    </row>
    <row r="83" spans="1:3" x14ac:dyDescent="0.45">
      <c r="A83" s="32" t="s">
        <v>186</v>
      </c>
      <c r="B83" s="33" t="s">
        <v>187</v>
      </c>
      <c r="C83" s="34" t="str">
        <f>IF(Filtres!$B$5="Français",Traduction!A83,Traduction!B83)</f>
        <v>Travailleur autonome</v>
      </c>
    </row>
    <row r="84" spans="1:3" x14ac:dyDescent="0.45">
      <c r="A84" s="32" t="s">
        <v>188</v>
      </c>
      <c r="B84" s="33" t="s">
        <v>189</v>
      </c>
      <c r="C84" s="34" t="str">
        <f>IF(Filtres!$B$5="Français",Traduction!A84,Traduction!B84)</f>
        <v>Revenu d'entreprise net ($)</v>
      </c>
    </row>
    <row r="85" spans="1:3" x14ac:dyDescent="0.45">
      <c r="A85" s="32" t="s">
        <v>190</v>
      </c>
      <c r="B85" s="33" t="s">
        <v>191</v>
      </c>
      <c r="C85" s="34" t="str">
        <f>IF(Filtres!$B$5="Français",Traduction!A85,Traduction!B85)</f>
        <v xml:space="preserve">Société(s) de gestion </v>
      </c>
    </row>
    <row r="86" spans="1:3" x14ac:dyDescent="0.45">
      <c r="A86" s="32" t="s">
        <v>192</v>
      </c>
      <c r="B86" s="33" t="s">
        <v>193</v>
      </c>
      <c r="C86" s="34" t="str">
        <f>IF(Filtres!$B$5="Français",Traduction!A86,Traduction!B86)</f>
        <v>Société de gestion 1</v>
      </c>
    </row>
    <row r="87" spans="1:3" x14ac:dyDescent="0.45">
      <c r="A87" s="32" t="s">
        <v>194</v>
      </c>
      <c r="B87" s="33" t="s">
        <v>195</v>
      </c>
      <c r="C87" s="34" t="str">
        <f>IF(Filtres!$B$5="Français",Traduction!A87,Traduction!B87)</f>
        <v>Société de gestion 2</v>
      </c>
    </row>
    <row r="88" spans="1:3" x14ac:dyDescent="0.45">
      <c r="A88" s="32" t="s">
        <v>196</v>
      </c>
      <c r="B88" s="33" t="s">
        <v>197</v>
      </c>
      <c r="C88" s="34" t="str">
        <f>IF(Filtres!$B$5="Français",Traduction!A88,Traduction!B88)</f>
        <v>Société de gestion 3</v>
      </c>
    </row>
    <row r="89" spans="1:3" x14ac:dyDescent="0.45">
      <c r="A89" s="32" t="s">
        <v>198</v>
      </c>
      <c r="B89" s="33" t="s">
        <v>199</v>
      </c>
      <c r="C89" s="34" t="str">
        <f>IF(Filtres!$B$5="Français",Traduction!A89,Traduction!B89)</f>
        <v>Société de gestion 4</v>
      </c>
    </row>
    <row r="90" spans="1:3" x14ac:dyDescent="0.45">
      <c r="A90" s="32" t="s">
        <v>200</v>
      </c>
      <c r="B90" s="33" t="s">
        <v>201</v>
      </c>
      <c r="C90" s="34" t="str">
        <f>IF(Filtres!$B$5="Français",Traduction!A90,Traduction!B90)</f>
        <v>Société de gestion 5</v>
      </c>
    </row>
    <row r="91" spans="1:3" x14ac:dyDescent="0.45">
      <c r="A91" s="32" t="s">
        <v>202</v>
      </c>
      <c r="B91" s="33" t="s">
        <v>203</v>
      </c>
      <c r="C91" s="34" t="str">
        <f>IF(Filtres!$B$5="Français",Traduction!A91,Traduction!B91)</f>
        <v>Nom de la société</v>
      </c>
    </row>
    <row r="92" spans="1:3" x14ac:dyDescent="0.45">
      <c r="A92" s="32" t="s">
        <v>204</v>
      </c>
      <c r="B92" s="33" t="s">
        <v>205</v>
      </c>
      <c r="C92" s="34" t="str">
        <f>IF(Filtres!$B$5="Français",Traduction!A92,Traduction!B92)</f>
        <v xml:space="preserve">Je joins une copie de tous les relevés de placements </v>
      </c>
    </row>
    <row r="93" spans="1:3" x14ac:dyDescent="0.45">
      <c r="A93" s="32" t="s">
        <v>206</v>
      </c>
      <c r="B93" s="33" t="s">
        <v>207</v>
      </c>
      <c r="C93" s="34" t="str">
        <f>IF(Filtres!$B$5="Français",Traduction!A93,Traduction!B93)</f>
        <v>Je joins une copie des états financiers</v>
      </c>
    </row>
    <row r="94" spans="1:3" x14ac:dyDescent="0.45">
      <c r="A94" s="32" t="s">
        <v>208</v>
      </c>
      <c r="B94" s="33" t="s">
        <v>209</v>
      </c>
      <c r="C94" s="34" t="str">
        <f>IF(Filtres!$B$5="Français",Traduction!A94,Traduction!B94)</f>
        <v>Je joins une copie de la déclaration de revenus fédérale T2</v>
      </c>
    </row>
    <row r="95" spans="1:3" x14ac:dyDescent="0.45">
      <c r="A95" s="32" t="s">
        <v>210</v>
      </c>
      <c r="B95" s="33" t="s">
        <v>211</v>
      </c>
      <c r="C95" s="34" t="str">
        <f>IF(Filtres!$B$5="Français",Traduction!A95,Traduction!B95)</f>
        <v>Pourcentage des actions ordinaires détenues par le client ou le conjoint (%)</v>
      </c>
    </row>
    <row r="96" spans="1:3" x14ac:dyDescent="0.45">
      <c r="A96" s="32" t="s">
        <v>212</v>
      </c>
      <c r="B96" s="33" t="s">
        <v>213</v>
      </c>
      <c r="C96" s="34" t="str">
        <f>IF(Filtres!$B$5="Français",Traduction!A96,Traduction!B96)</f>
        <v>Actions à dividendes discrétionnaires au conjoint</v>
      </c>
    </row>
    <row r="97" spans="1:3" x14ac:dyDescent="0.45">
      <c r="A97" s="32" t="s">
        <v>214</v>
      </c>
      <c r="B97" s="33" t="s">
        <v>215</v>
      </c>
      <c r="C97" s="34" t="str">
        <f>IF(Filtres!$B$5="Français",Traduction!A97,Traduction!B97)</f>
        <v>Solde des comptes de placements ($)</v>
      </c>
    </row>
    <row r="98" spans="1:3" x14ac:dyDescent="0.45">
      <c r="A98" s="32" t="s">
        <v>216</v>
      </c>
      <c r="B98" s="33" t="s">
        <v>217</v>
      </c>
      <c r="C98" s="34" t="str">
        <f>IF(Filtres!$B$5="Français",Traduction!A98,Traduction!B98)</f>
        <v>PBR des comptes de placements ($)</v>
      </c>
    </row>
    <row r="99" spans="1:3" x14ac:dyDescent="0.45">
      <c r="A99" s="32" t="s">
        <v>218</v>
      </c>
      <c r="B99" s="33" t="s">
        <v>219</v>
      </c>
      <c r="C99" s="34" t="str">
        <f>IF(Filtres!$B$5="Français",Traduction!A99,Traduction!B99)</f>
        <v>Solde IMRTD non déterminé ($)</v>
      </c>
    </row>
    <row r="100" spans="1:3" x14ac:dyDescent="0.45">
      <c r="A100" s="32" t="s">
        <v>220</v>
      </c>
      <c r="B100" s="33" t="s">
        <v>221</v>
      </c>
      <c r="C100" s="34" t="str">
        <f>IF(Filtres!$B$5="Français",Traduction!A100,Traduction!B100)</f>
        <v>Solde IMRTD déterminé ($)</v>
      </c>
    </row>
    <row r="101" spans="1:3" x14ac:dyDescent="0.45">
      <c r="A101" s="32" t="s">
        <v>222</v>
      </c>
      <c r="B101" s="33" t="s">
        <v>223</v>
      </c>
      <c r="C101" s="34" t="str">
        <f>IF(Filtres!$B$5="Français",Traduction!A101,Traduction!B101)</f>
        <v>Solde CRTG ($)</v>
      </c>
    </row>
    <row r="102" spans="1:3" x14ac:dyDescent="0.45">
      <c r="A102" s="32" t="s">
        <v>224</v>
      </c>
      <c r="B102" s="33" t="s">
        <v>225</v>
      </c>
      <c r="C102" s="34" t="str">
        <f>IF(Filtres!$B$5="Français",Traduction!A102,Traduction!B102)</f>
        <v>Solde CDC ($)</v>
      </c>
    </row>
    <row r="103" spans="1:3" x14ac:dyDescent="0.45">
      <c r="A103" s="32" t="s">
        <v>226</v>
      </c>
      <c r="B103" s="33" t="s">
        <v>227</v>
      </c>
      <c r="C103" s="34" t="str">
        <f>IF(Filtres!$B$5="Français",Traduction!A103,Traduction!B103)</f>
        <v>Dépenses annuelles excluant les primes d'assurances-vie et invalidité ($)</v>
      </c>
    </row>
    <row r="104" spans="1:3" x14ac:dyDescent="0.45">
      <c r="A104" s="32" t="s">
        <v>228</v>
      </c>
      <c r="B104" s="33" t="s">
        <v>229</v>
      </c>
      <c r="C104" s="34" t="str">
        <f>IF(Filtres!$B$5="Français",Traduction!A104,Traduction!B104)</f>
        <v>Société(s) opérante(s)</v>
      </c>
    </row>
    <row r="105" spans="1:3" x14ac:dyDescent="0.45">
      <c r="A105" s="32" t="s">
        <v>230</v>
      </c>
      <c r="B105" s="33" t="s">
        <v>231</v>
      </c>
      <c r="C105" s="34" t="str">
        <f>IF(Filtres!$B$5="Français",Traduction!A105,Traduction!B105)</f>
        <v>Société opérante 1</v>
      </c>
    </row>
    <row r="106" spans="1:3" x14ac:dyDescent="0.45">
      <c r="A106" s="32" t="s">
        <v>232</v>
      </c>
      <c r="B106" s="33" t="s">
        <v>233</v>
      </c>
      <c r="C106" s="34" t="str">
        <f>IF(Filtres!$B$5="Français",Traduction!A106,Traduction!B106)</f>
        <v>Société opérante 2</v>
      </c>
    </row>
    <row r="107" spans="1:3" x14ac:dyDescent="0.45">
      <c r="A107" s="32" t="s">
        <v>234</v>
      </c>
      <c r="B107" s="33" t="s">
        <v>235</v>
      </c>
      <c r="C107" s="34" t="str">
        <f>IF(Filtres!$B$5="Français",Traduction!A107,Traduction!B107)</f>
        <v>Société opérante 3</v>
      </c>
    </row>
    <row r="108" spans="1:3" x14ac:dyDescent="0.45">
      <c r="A108" s="32" t="s">
        <v>236</v>
      </c>
      <c r="B108" s="33" t="s">
        <v>237</v>
      </c>
      <c r="C108" s="34" t="str">
        <f>IF(Filtres!$B$5="Français",Traduction!A108,Traduction!B108)</f>
        <v>Société opérante 4</v>
      </c>
    </row>
    <row r="109" spans="1:3" x14ac:dyDescent="0.45">
      <c r="A109" s="32" t="s">
        <v>238</v>
      </c>
      <c r="B109" s="33" t="s">
        <v>239</v>
      </c>
      <c r="C109" s="34" t="str">
        <f>IF(Filtres!$B$5="Français",Traduction!A109,Traduction!B109)</f>
        <v>Société opérante 5</v>
      </c>
    </row>
    <row r="110" spans="1:3" x14ac:dyDescent="0.45">
      <c r="A110" s="32" t="s">
        <v>240</v>
      </c>
      <c r="B110" s="33" t="s">
        <v>241</v>
      </c>
      <c r="C110" s="34" t="str">
        <f>IF(Filtres!$B$5="Français",Traduction!A110,Traduction!B110)</f>
        <v>Société opérante 6</v>
      </c>
    </row>
    <row r="111" spans="1:3" x14ac:dyDescent="0.45">
      <c r="A111" s="32" t="s">
        <v>242</v>
      </c>
      <c r="B111" s="33" t="s">
        <v>243</v>
      </c>
      <c r="C111" s="34" t="str">
        <f>IF(Filtres!$B$5="Français",Traduction!A111,Traduction!B111)</f>
        <v>Société opérante 7</v>
      </c>
    </row>
    <row r="112" spans="1:3" x14ac:dyDescent="0.45">
      <c r="A112" s="32" t="s">
        <v>244</v>
      </c>
      <c r="B112" s="33" t="s">
        <v>245</v>
      </c>
      <c r="C112" s="34" t="str">
        <f>IF(Filtres!$B$5="Français",Traduction!A112,Traduction!B112)</f>
        <v>Société opérante 8</v>
      </c>
    </row>
    <row r="113" spans="1:3" x14ac:dyDescent="0.45">
      <c r="A113" s="32" t="s">
        <v>246</v>
      </c>
      <c r="B113" s="33" t="s">
        <v>247</v>
      </c>
      <c r="C113" s="34" t="str">
        <f>IF(Filtres!$B$5="Français",Traduction!A113,Traduction!B113)</f>
        <v>Société opérante 9</v>
      </c>
    </row>
    <row r="114" spans="1:3" x14ac:dyDescent="0.45">
      <c r="A114" s="32" t="s">
        <v>248</v>
      </c>
      <c r="B114" s="33" t="s">
        <v>249</v>
      </c>
      <c r="C114" s="34" t="str">
        <f>IF(Filtres!$B$5="Français",Traduction!A114,Traduction!B114)</f>
        <v>Société opérante 10</v>
      </c>
    </row>
    <row r="115" spans="1:3" x14ac:dyDescent="0.45">
      <c r="A115" s="32" t="s">
        <v>250</v>
      </c>
      <c r="B115" s="33" t="s">
        <v>251</v>
      </c>
      <c r="C115" s="34" t="str">
        <f>IF(Filtres!$B$5="Français",Traduction!A115,Traduction!B115)</f>
        <v>Salaire annuel versé au client/conjoint</v>
      </c>
    </row>
    <row r="116" spans="1:3" x14ac:dyDescent="0.45">
      <c r="A116" s="32" t="s">
        <v>252</v>
      </c>
      <c r="B116" s="33" t="s">
        <v>253</v>
      </c>
      <c r="C116" s="34" t="str">
        <f>IF(Filtres!$B$5="Français",Traduction!A116,Traduction!B116)</f>
        <v>Nom de la personne/société qui détient les actions de cette entreprise</v>
      </c>
    </row>
    <row r="117" spans="1:3" x14ac:dyDescent="0.45">
      <c r="A117" s="32" t="s">
        <v>254</v>
      </c>
      <c r="B117" s="33" t="s">
        <v>255</v>
      </c>
      <c r="C117" s="34" t="str">
        <f>IF(Filtres!$B$5="Français",Traduction!A117,Traduction!B117)</f>
        <v>Pourcentage détenu par la personne/société inscrite ci-dessus (%)</v>
      </c>
    </row>
    <row r="118" spans="1:3" x14ac:dyDescent="0.45">
      <c r="A118" s="32" t="s">
        <v>256</v>
      </c>
      <c r="B118" s="33" t="s">
        <v>257</v>
      </c>
      <c r="C118" s="34" t="str">
        <f>IF(Filtres!$B$5="Français",Traduction!A118,Traduction!B118)</f>
        <v>Je joins une copie de l'organigramme</v>
      </c>
    </row>
    <row r="119" spans="1:3" x14ac:dyDescent="0.45">
      <c r="A119" s="32" t="s">
        <v>258</v>
      </c>
      <c r="B119" s="33" t="s">
        <v>259</v>
      </c>
      <c r="C119" s="34" t="str">
        <f>IF(Filtres!$B$5="Français",Traduction!A119,Traduction!B119)</f>
        <v>Revenu d'entreprise net des dépenses annuelles ($)</v>
      </c>
    </row>
    <row r="120" spans="1:3" x14ac:dyDescent="0.45">
      <c r="A120" s="32" t="s">
        <v>12</v>
      </c>
      <c r="B120" s="33" t="s">
        <v>260</v>
      </c>
      <c r="C120" s="34" t="str">
        <f>IF(Filtres!$B$5="Français",Traduction!A120,Traduction!B120)</f>
        <v>% des bénéfices annuels investis dans des placements (surplus après impôts dans l'entreprise)</v>
      </c>
    </row>
    <row r="121" spans="1:3" x14ac:dyDescent="0.45">
      <c r="A121" s="32" t="s">
        <v>261</v>
      </c>
      <c r="B121" s="33" t="s">
        <v>262</v>
      </c>
      <c r="C121" s="34" t="str">
        <f>IF(Filtres!$B$5="Français",Traduction!A121,Traduction!B121)</f>
        <v>Versement annuel pour rembourser le passif à long terme (le revenu net ci-dessus sera réduit de ce montant)</v>
      </c>
    </row>
    <row r="122" spans="1:3" x14ac:dyDescent="0.45">
      <c r="A122" s="32" t="s">
        <v>263</v>
      </c>
      <c r="B122" s="33" t="s">
        <v>264</v>
      </c>
      <c r="C122" s="34" t="str">
        <f>IF(Filtres!$B$5="Français",Traduction!A122,Traduction!B122)</f>
        <v>Fiducie(s)</v>
      </c>
    </row>
    <row r="123" spans="1:3" x14ac:dyDescent="0.45">
      <c r="A123" s="32" t="s">
        <v>265</v>
      </c>
      <c r="B123" s="33" t="s">
        <v>266</v>
      </c>
      <c r="C123" s="34" t="str">
        <f>IF(Filtres!$B$5="Français",Traduction!A123,Traduction!B123)</f>
        <v>Fiducie 1</v>
      </c>
    </row>
    <row r="124" spans="1:3" x14ac:dyDescent="0.45">
      <c r="A124" s="32" t="s">
        <v>267</v>
      </c>
      <c r="B124" s="33" t="s">
        <v>268</v>
      </c>
      <c r="C124" s="34" t="str">
        <f>IF(Filtres!$B$5="Français",Traduction!A124,Traduction!B124)</f>
        <v>Fiducie 2</v>
      </c>
    </row>
    <row r="125" spans="1:3" x14ac:dyDescent="0.45">
      <c r="A125" s="32" t="s">
        <v>269</v>
      </c>
      <c r="B125" s="33" t="s">
        <v>270</v>
      </c>
      <c r="C125" s="34" t="str">
        <f>IF(Filtres!$B$5="Français",Traduction!A125,Traduction!B125)</f>
        <v>Fiducie 3</v>
      </c>
    </row>
    <row r="126" spans="1:3" x14ac:dyDescent="0.45">
      <c r="A126" s="32" t="s">
        <v>271</v>
      </c>
      <c r="B126" s="33" t="s">
        <v>272</v>
      </c>
      <c r="C126" s="34" t="str">
        <f>IF(Filtres!$B$5="Français",Traduction!A126,Traduction!B126)</f>
        <v>Fiducie 4</v>
      </c>
    </row>
    <row r="127" spans="1:3" x14ac:dyDescent="0.45">
      <c r="A127" s="32" t="s">
        <v>273</v>
      </c>
      <c r="B127" s="33" t="s">
        <v>274</v>
      </c>
      <c r="C127" s="34" t="str">
        <f>IF(Filtres!$B$5="Français",Traduction!A127,Traduction!B127)</f>
        <v>Fiducie 5</v>
      </c>
    </row>
    <row r="128" spans="1:3" x14ac:dyDescent="0.45">
      <c r="A128" s="32" t="s">
        <v>275</v>
      </c>
      <c r="B128" s="33" t="s">
        <v>276</v>
      </c>
      <c r="C128" s="34" t="str">
        <f>IF(Filtres!$B$5="Français",Traduction!A128,Traduction!B128)</f>
        <v>Fiducie 6</v>
      </c>
    </row>
    <row r="129" spans="1:3" x14ac:dyDescent="0.45">
      <c r="A129" s="32" t="s">
        <v>277</v>
      </c>
      <c r="B129" s="33" t="s">
        <v>278</v>
      </c>
      <c r="C129" s="34" t="str">
        <f>IF(Filtres!$B$5="Français",Traduction!A129,Traduction!B129)</f>
        <v>Fiducie 7</v>
      </c>
    </row>
    <row r="130" spans="1:3" x14ac:dyDescent="0.45">
      <c r="A130" s="32" t="s">
        <v>279</v>
      </c>
      <c r="B130" s="33" t="s">
        <v>280</v>
      </c>
      <c r="C130" s="34" t="str">
        <f>IF(Filtres!$B$5="Français",Traduction!A130,Traduction!B130)</f>
        <v>Fiducie 8</v>
      </c>
    </row>
    <row r="131" spans="1:3" x14ac:dyDescent="0.45">
      <c r="A131" s="32" t="s">
        <v>281</v>
      </c>
      <c r="B131" s="33" t="s">
        <v>282</v>
      </c>
      <c r="C131" s="34" t="str">
        <f>IF(Filtres!$B$5="Français",Traduction!A131,Traduction!B131)</f>
        <v>Fiducie 9</v>
      </c>
    </row>
    <row r="132" spans="1:3" x14ac:dyDescent="0.45">
      <c r="A132" s="32" t="s">
        <v>283</v>
      </c>
      <c r="B132" s="33" t="s">
        <v>284</v>
      </c>
      <c r="C132" s="34" t="str">
        <f>IF(Filtres!$B$5="Français",Traduction!A132,Traduction!B132)</f>
        <v>Fiducie 10</v>
      </c>
    </row>
    <row r="133" spans="1:3" x14ac:dyDescent="0.45">
      <c r="A133" s="32" t="s">
        <v>285</v>
      </c>
      <c r="B133" s="33" t="s">
        <v>286</v>
      </c>
      <c r="C133" s="34" t="str">
        <f>IF(Filtres!$B$5="Français",Traduction!A133,Traduction!B133)</f>
        <v>Bénéficiaire (nom du client, du conjoint ou de la société, le nom doit être inscrit dans les sections en haut pour être inclus dans le menu déroulant)</v>
      </c>
    </row>
    <row r="134" spans="1:3" x14ac:dyDescent="0.45">
      <c r="A134" s="32" t="s">
        <v>287</v>
      </c>
      <c r="B134" s="33" t="s">
        <v>288</v>
      </c>
      <c r="C134" s="34" t="str">
        <f>IF(Filtres!$B$5="Français",Traduction!A134,Traduction!B134)</f>
        <v>Je joins une copie de l'acte de fiducie</v>
      </c>
    </row>
    <row r="135" spans="1:3" x14ac:dyDescent="0.45">
      <c r="A135" s="32" t="s">
        <v>289</v>
      </c>
      <c r="B135" s="33" t="s">
        <v>290</v>
      </c>
      <c r="C135" s="34" t="str">
        <f>IF(Filtres!$B$5="Français",Traduction!A135,Traduction!B135)</f>
        <v>Nombre de bénéficiaires</v>
      </c>
    </row>
    <row r="136" spans="1:3" x14ac:dyDescent="0.45">
      <c r="A136" s="32" t="s">
        <v>291</v>
      </c>
      <c r="B136" s="33" t="s">
        <v>292</v>
      </c>
      <c r="C136" s="34" t="str">
        <f>IF(Filtres!$B$5="Français",Traduction!A136,Traduction!B136)</f>
        <v xml:space="preserve">Société en nom collectif (S.E.N.C) </v>
      </c>
    </row>
    <row r="137" spans="1:3" x14ac:dyDescent="0.45">
      <c r="A137" s="32" t="s">
        <v>293</v>
      </c>
      <c r="B137" s="33" t="s">
        <v>294</v>
      </c>
      <c r="C137" s="34" t="str">
        <f>IF(Filtres!$B$5="Français",Traduction!A137,Traduction!B137)</f>
        <v>S.E.N.C. 1</v>
      </c>
    </row>
    <row r="138" spans="1:3" x14ac:dyDescent="0.45">
      <c r="A138" s="32" t="s">
        <v>295</v>
      </c>
      <c r="B138" s="33" t="s">
        <v>296</v>
      </c>
      <c r="C138" s="34" t="str">
        <f>IF(Filtres!$B$5="Français",Traduction!A138,Traduction!B138)</f>
        <v>S.E.N.C. 2</v>
      </c>
    </row>
    <row r="139" spans="1:3" x14ac:dyDescent="0.45">
      <c r="A139" s="32" t="s">
        <v>297</v>
      </c>
      <c r="B139" s="33" t="s">
        <v>298</v>
      </c>
      <c r="C139" s="34" t="str">
        <f>IF(Filtres!$B$5="Français",Traduction!A139,Traduction!B139)</f>
        <v>S.E.N.C. 3</v>
      </c>
    </row>
    <row r="140" spans="1:3" x14ac:dyDescent="0.45">
      <c r="A140" s="32" t="s">
        <v>299</v>
      </c>
      <c r="B140" s="33" t="s">
        <v>300</v>
      </c>
      <c r="C140" s="34" t="str">
        <f>IF(Filtres!$B$5="Français",Traduction!A140,Traduction!B140)</f>
        <v>S.E.N.C. 4</v>
      </c>
    </row>
    <row r="141" spans="1:3" x14ac:dyDescent="0.45">
      <c r="A141" s="32" t="s">
        <v>301</v>
      </c>
      <c r="B141" s="33" t="s">
        <v>302</v>
      </c>
      <c r="C141" s="34" t="str">
        <f>IF(Filtres!$B$5="Français",Traduction!A141,Traduction!B141)</f>
        <v>S.E.N.C. 5</v>
      </c>
    </row>
    <row r="142" spans="1:3" x14ac:dyDescent="0.45">
      <c r="A142" s="32" t="s">
        <v>303</v>
      </c>
      <c r="B142" s="33" t="s">
        <v>304</v>
      </c>
      <c r="C142" s="34" t="str">
        <f>IF(Filtres!$B$5="Français",Traduction!A142,Traduction!B142)</f>
        <v>S.E.N.C. 6</v>
      </c>
    </row>
    <row r="143" spans="1:3" x14ac:dyDescent="0.45">
      <c r="A143" s="32" t="s">
        <v>305</v>
      </c>
      <c r="B143" s="33" t="s">
        <v>306</v>
      </c>
      <c r="C143" s="34" t="str">
        <f>IF(Filtres!$B$5="Français",Traduction!A143,Traduction!B143)</f>
        <v>S.E.N.C. 7</v>
      </c>
    </row>
    <row r="144" spans="1:3" x14ac:dyDescent="0.45">
      <c r="A144" s="32" t="s">
        <v>307</v>
      </c>
      <c r="B144" s="33" t="s">
        <v>308</v>
      </c>
      <c r="C144" s="34" t="str">
        <f>IF(Filtres!$B$5="Français",Traduction!A144,Traduction!B144)</f>
        <v>S.E.N.C. 8</v>
      </c>
    </row>
    <row r="145" spans="1:3" x14ac:dyDescent="0.45">
      <c r="A145" s="32" t="s">
        <v>309</v>
      </c>
      <c r="B145" s="33" t="s">
        <v>310</v>
      </c>
      <c r="C145" s="34" t="str">
        <f>IF(Filtres!$B$5="Français",Traduction!A145,Traduction!B145)</f>
        <v>S.E.N.C. 9</v>
      </c>
    </row>
    <row r="146" spans="1:3" x14ac:dyDescent="0.45">
      <c r="A146" s="32" t="s">
        <v>311</v>
      </c>
      <c r="B146" s="33" t="s">
        <v>312</v>
      </c>
      <c r="C146" s="34" t="str">
        <f>IF(Filtres!$B$5="Français",Traduction!A146,Traduction!B146)</f>
        <v>S.E.N.C. 10</v>
      </c>
    </row>
    <row r="147" spans="1:3" x14ac:dyDescent="0.45">
      <c r="A147" s="32" t="s">
        <v>313</v>
      </c>
      <c r="B147" s="33" t="s">
        <v>314</v>
      </c>
      <c r="C147" s="34" t="str">
        <f>IF(Filtres!$B$5="Français",Traduction!A147,Traduction!B147)</f>
        <v>Je joins une copie des états financiers (obligatoire)</v>
      </c>
    </row>
    <row r="148" spans="1:3" x14ac:dyDescent="0.45">
      <c r="A148" s="32" t="s">
        <v>315</v>
      </c>
      <c r="B148" s="33" t="s">
        <v>316</v>
      </c>
      <c r="C148" s="34" t="str">
        <f>IF(Filtres!$B$5="Français",Traduction!A148,Traduction!B148)</f>
        <v>Immeuble(s) à revenus personnel</v>
      </c>
    </row>
    <row r="149" spans="1:3" x14ac:dyDescent="0.45">
      <c r="A149" s="32" t="s">
        <v>317</v>
      </c>
      <c r="B149" s="33" t="s">
        <v>318</v>
      </c>
      <c r="C149" s="34" t="str">
        <f>IF(Filtres!$B$5="Français",Traduction!A149,Traduction!B149)</f>
        <v>Immeuble 1</v>
      </c>
    </row>
    <row r="150" spans="1:3" x14ac:dyDescent="0.45">
      <c r="A150" s="32" t="s">
        <v>319</v>
      </c>
      <c r="B150" s="33" t="s">
        <v>320</v>
      </c>
      <c r="C150" s="34" t="str">
        <f>IF(Filtres!$B$5="Français",Traduction!A150,Traduction!B150)</f>
        <v>Immeuble 2</v>
      </c>
    </row>
    <row r="151" spans="1:3" x14ac:dyDescent="0.45">
      <c r="A151" s="32" t="s">
        <v>321</v>
      </c>
      <c r="B151" s="33" t="s">
        <v>322</v>
      </c>
      <c r="C151" s="34" t="str">
        <f>IF(Filtres!$B$5="Français",Traduction!A151,Traduction!B151)</f>
        <v>Immeuble 3</v>
      </c>
    </row>
    <row r="152" spans="1:3" x14ac:dyDescent="0.45">
      <c r="A152" s="32" t="s">
        <v>323</v>
      </c>
      <c r="B152" s="33" t="s">
        <v>324</v>
      </c>
      <c r="C152" s="34" t="str">
        <f>IF(Filtres!$B$5="Français",Traduction!A152,Traduction!B152)</f>
        <v>Immeuble 4</v>
      </c>
    </row>
    <row r="153" spans="1:3" x14ac:dyDescent="0.45">
      <c r="A153" s="32" t="s">
        <v>325</v>
      </c>
      <c r="B153" s="33" t="s">
        <v>326</v>
      </c>
      <c r="C153" s="34" t="str">
        <f>IF(Filtres!$B$5="Français",Traduction!A153,Traduction!B153)</f>
        <v>Immeuble 5</v>
      </c>
    </row>
    <row r="154" spans="1:3" x14ac:dyDescent="0.45">
      <c r="A154" s="32" t="s">
        <v>327</v>
      </c>
      <c r="B154" s="33" t="s">
        <v>328</v>
      </c>
      <c r="C154" s="34" t="str">
        <f>IF(Filtres!$B$5="Français",Traduction!A154,Traduction!B154)</f>
        <v>Immeuble 6</v>
      </c>
    </row>
    <row r="155" spans="1:3" x14ac:dyDescent="0.45">
      <c r="A155" s="32" t="s">
        <v>329</v>
      </c>
      <c r="B155" s="33" t="s">
        <v>330</v>
      </c>
      <c r="C155" s="34" t="str">
        <f>IF(Filtres!$B$5="Français",Traduction!A155,Traduction!B155)</f>
        <v>Immeuble 7</v>
      </c>
    </row>
    <row r="156" spans="1:3" x14ac:dyDescent="0.45">
      <c r="A156" s="32" t="s">
        <v>331</v>
      </c>
      <c r="B156" s="33" t="s">
        <v>332</v>
      </c>
      <c r="C156" s="34" t="str">
        <f>IF(Filtres!$B$5="Français",Traduction!A156,Traduction!B156)</f>
        <v>Immeuble 8</v>
      </c>
    </row>
    <row r="157" spans="1:3" x14ac:dyDescent="0.45">
      <c r="A157" s="32" t="s">
        <v>333</v>
      </c>
      <c r="B157" s="33" t="s">
        <v>334</v>
      </c>
      <c r="C157" s="34" t="str">
        <f>IF(Filtres!$B$5="Français",Traduction!A157,Traduction!B157)</f>
        <v>Immeuble 9</v>
      </c>
    </row>
    <row r="158" spans="1:3" x14ac:dyDescent="0.45">
      <c r="A158" s="32" t="s">
        <v>335</v>
      </c>
      <c r="B158" s="33" t="s">
        <v>336</v>
      </c>
      <c r="C158" s="34" t="str">
        <f>IF(Filtres!$B$5="Français",Traduction!A158,Traduction!B158)</f>
        <v>Immeuble 10</v>
      </c>
    </row>
    <row r="159" spans="1:3" x14ac:dyDescent="0.45">
      <c r="A159" s="32" t="s">
        <v>337</v>
      </c>
      <c r="B159" s="33" t="s">
        <v>338</v>
      </c>
      <c r="C159" s="34" t="str">
        <f>IF(Filtres!$B$5="Français",Traduction!A159,Traduction!B159)</f>
        <v>Je joins une copie de la déclaration de revenus fédérale contenant le feuillet T776</v>
      </c>
    </row>
    <row r="160" spans="1:3" x14ac:dyDescent="0.45">
      <c r="A160" s="32" t="s">
        <v>339</v>
      </c>
      <c r="B160" s="33" t="s">
        <v>340</v>
      </c>
      <c r="C160" s="34" t="str">
        <f>IF(Filtres!$B$5="Français",Traduction!A160,Traduction!B160)</f>
        <v>Nom ou adresse</v>
      </c>
    </row>
    <row r="161" spans="1:3" x14ac:dyDescent="0.45">
      <c r="A161" s="32" t="s">
        <v>341</v>
      </c>
      <c r="B161" s="33" t="s">
        <v>342</v>
      </c>
      <c r="C161" s="34" t="str">
        <f>IF(Filtres!$B$5="Français",Traduction!A161,Traduction!B161)</f>
        <v>Pourcentage détenu par le client ou le conjoint (%)</v>
      </c>
    </row>
    <row r="162" spans="1:3" x14ac:dyDescent="0.45">
      <c r="A162" s="32" t="s">
        <v>343</v>
      </c>
      <c r="B162" s="33" t="s">
        <v>344</v>
      </c>
      <c r="C162" s="34" t="str">
        <f>IF(Filtres!$B$5="Français",Traduction!A162,Traduction!B162)</f>
        <v>Valeur marchande bâtiment</v>
      </c>
    </row>
    <row r="163" spans="1:3" x14ac:dyDescent="0.45">
      <c r="A163" s="32" t="s">
        <v>345</v>
      </c>
      <c r="B163" s="33" t="s">
        <v>346</v>
      </c>
      <c r="C163" s="34" t="str">
        <f>IF(Filtres!$B$5="Français",Traduction!A163,Traduction!B163)</f>
        <v>Prix de base rajusté du bâtiment</v>
      </c>
    </row>
    <row r="164" spans="1:3" x14ac:dyDescent="0.45">
      <c r="A164" s="32" t="s">
        <v>347</v>
      </c>
      <c r="B164" s="33" t="s">
        <v>348</v>
      </c>
      <c r="C164" s="34" t="str">
        <f>IF(Filtres!$B$5="Français",Traduction!A164,Traduction!B164)</f>
        <v>FNACC bâtiment</v>
      </c>
    </row>
    <row r="165" spans="1:3" x14ac:dyDescent="0.45">
      <c r="A165" s="32" t="s">
        <v>349</v>
      </c>
      <c r="B165" s="33" t="s">
        <v>350</v>
      </c>
      <c r="C165" s="34" t="str">
        <f>IF(Filtres!$B$5="Français",Traduction!A165,Traduction!B165)</f>
        <v>Valeur marchande terrain</v>
      </c>
    </row>
    <row r="166" spans="1:3" x14ac:dyDescent="0.45">
      <c r="A166" s="32" t="s">
        <v>351</v>
      </c>
      <c r="B166" s="33" t="s">
        <v>352</v>
      </c>
      <c r="C166" s="34" t="str">
        <f>IF(Filtres!$B$5="Français",Traduction!A166,Traduction!B166)</f>
        <v>Prix de base rajusté terrain</v>
      </c>
    </row>
    <row r="167" spans="1:3" x14ac:dyDescent="0.45">
      <c r="A167" s="32" t="s">
        <v>353</v>
      </c>
      <c r="B167" s="33" t="s">
        <v>354</v>
      </c>
      <c r="C167" s="34" t="str">
        <f>IF(Filtres!$B$5="Français",Traduction!A167,Traduction!B167)</f>
        <v>Année de vente de l'immeuble</v>
      </c>
    </row>
    <row r="168" spans="1:3" x14ac:dyDescent="0.45">
      <c r="A168" s="32" t="s">
        <v>355</v>
      </c>
      <c r="B168" s="33" t="s">
        <v>356</v>
      </c>
      <c r="C168" s="34" t="str">
        <f>IF(Filtres!$B$5="Français",Traduction!A168,Traduction!B168)</f>
        <v>Solde hypohécaire</v>
      </c>
    </row>
    <row r="169" spans="1:3" x14ac:dyDescent="0.45">
      <c r="A169" s="32" t="s">
        <v>357</v>
      </c>
      <c r="B169" s="33" t="s">
        <v>358</v>
      </c>
      <c r="C169" s="34" t="str">
        <f>IF(Filtres!$B$5="Français",Traduction!A169,Traduction!B169)</f>
        <v>Date de fin du paiement hypothécaire (aaaa-mm-jj)</v>
      </c>
    </row>
    <row r="170" spans="1:3" x14ac:dyDescent="0.45">
      <c r="A170" s="32" t="s">
        <v>359</v>
      </c>
      <c r="B170" s="33" t="s">
        <v>360</v>
      </c>
      <c r="C170" s="34" t="str">
        <f>IF(Filtres!$B$5="Français",Traduction!A170,Traduction!B170)</f>
        <v>Taux d'intérêt sur le prêt hypothécaire (%)</v>
      </c>
    </row>
    <row r="171" spans="1:3" x14ac:dyDescent="0.45">
      <c r="A171" s="32" t="s">
        <v>361</v>
      </c>
      <c r="B171" s="33" t="s">
        <v>362</v>
      </c>
      <c r="C171" s="34" t="str">
        <f>IF(Filtres!$B$5="Français",Traduction!A171,Traduction!B171)</f>
        <v>Revenu de location net avant déduction des intérêts sur le prêt et avant amortissement</v>
      </c>
    </row>
    <row r="172" spans="1:3" x14ac:dyDescent="0.45">
      <c r="A172" s="32" t="s">
        <v>363</v>
      </c>
      <c r="B172" s="33" t="s">
        <v>364</v>
      </c>
      <c r="C172" s="34" t="str">
        <f>IF(Filtres!$B$5="Français",Traduction!A172,Traduction!B172)</f>
        <v>Immeuble(s) à revenus dans une société</v>
      </c>
    </row>
    <row r="173" spans="1:3" x14ac:dyDescent="0.45">
      <c r="A173" s="32" t="s">
        <v>365</v>
      </c>
      <c r="B173" s="33" t="s">
        <v>366</v>
      </c>
      <c r="C173" s="34" t="str">
        <f>IF(Filtres!$B$5="Français",Traduction!A173,Traduction!B173)</f>
        <v>Je joins une copie des états financiers de la société propriétaire</v>
      </c>
    </row>
    <row r="174" spans="1:3" x14ac:dyDescent="0.45">
      <c r="A174" s="32" t="s">
        <v>367</v>
      </c>
      <c r="B174" s="33" t="s">
        <v>368</v>
      </c>
      <c r="C174" s="34" t="str">
        <f>IF(Filtres!$B$5="Français",Traduction!A174,Traduction!B174)</f>
        <v>Assurance(s) vie personnelle(s)</v>
      </c>
    </row>
    <row r="175" spans="1:3" x14ac:dyDescent="0.45">
      <c r="A175" s="32" t="s">
        <v>369</v>
      </c>
      <c r="B175" s="33" t="s">
        <v>370</v>
      </c>
      <c r="C175" s="34" t="str">
        <f>IF(Filtres!$B$5="Français",Traduction!A175,Traduction!B175)</f>
        <v>Police 1</v>
      </c>
    </row>
    <row r="176" spans="1:3" x14ac:dyDescent="0.45">
      <c r="A176" s="32" t="s">
        <v>371</v>
      </c>
      <c r="B176" s="33" t="s">
        <v>372</v>
      </c>
      <c r="C176" s="34" t="str">
        <f>IF(Filtres!$B$5="Français",Traduction!A176,Traduction!B176)</f>
        <v>Police 2</v>
      </c>
    </row>
    <row r="177" spans="1:3" x14ac:dyDescent="0.45">
      <c r="A177" s="32" t="s">
        <v>373</v>
      </c>
      <c r="B177" s="33" t="s">
        <v>374</v>
      </c>
      <c r="C177" s="34" t="str">
        <f>IF(Filtres!$B$5="Français",Traduction!A177,Traduction!B177)</f>
        <v>Police 3</v>
      </c>
    </row>
    <row r="178" spans="1:3" x14ac:dyDescent="0.45">
      <c r="A178" s="32" t="s">
        <v>375</v>
      </c>
      <c r="B178" s="33" t="s">
        <v>376</v>
      </c>
      <c r="C178" s="34" t="str">
        <f>IF(Filtres!$B$5="Français",Traduction!A178,Traduction!B178)</f>
        <v>Police 4</v>
      </c>
    </row>
    <row r="179" spans="1:3" x14ac:dyDescent="0.45">
      <c r="A179" s="32" t="s">
        <v>377</v>
      </c>
      <c r="B179" s="33" t="s">
        <v>378</v>
      </c>
      <c r="C179" s="34" t="str">
        <f>IF(Filtres!$B$5="Français",Traduction!A179,Traduction!B179)</f>
        <v>Police 5</v>
      </c>
    </row>
    <row r="180" spans="1:3" x14ac:dyDescent="0.45">
      <c r="A180" s="32" t="s">
        <v>379</v>
      </c>
      <c r="B180" s="33" t="s">
        <v>380</v>
      </c>
      <c r="C180" s="34" t="str">
        <f>IF(Filtres!$B$5="Français",Traduction!A180,Traduction!B180)</f>
        <v>Police 6</v>
      </c>
    </row>
    <row r="181" spans="1:3" x14ac:dyDescent="0.45">
      <c r="A181" s="32" t="s">
        <v>381</v>
      </c>
      <c r="B181" s="33" t="s">
        <v>382</v>
      </c>
      <c r="C181" s="34" t="str">
        <f>IF(Filtres!$B$5="Français",Traduction!A181,Traduction!B181)</f>
        <v>Police 7</v>
      </c>
    </row>
    <row r="182" spans="1:3" x14ac:dyDescent="0.45">
      <c r="A182" s="32" t="s">
        <v>383</v>
      </c>
      <c r="B182" s="33" t="s">
        <v>384</v>
      </c>
      <c r="C182" s="34" t="str">
        <f>IF(Filtres!$B$5="Français",Traduction!A182,Traduction!B182)</f>
        <v>Police 8</v>
      </c>
    </row>
    <row r="183" spans="1:3" x14ac:dyDescent="0.45">
      <c r="A183" s="32" t="s">
        <v>385</v>
      </c>
      <c r="B183" s="33" t="s">
        <v>386</v>
      </c>
      <c r="C183" s="34" t="str">
        <f>IF(Filtres!$B$5="Français",Traduction!A183,Traduction!B183)</f>
        <v>Police 9</v>
      </c>
    </row>
    <row r="184" spans="1:3" x14ac:dyDescent="0.45">
      <c r="A184" s="32" t="s">
        <v>387</v>
      </c>
      <c r="B184" s="33" t="s">
        <v>388</v>
      </c>
      <c r="C184" s="34" t="str">
        <f>IF(Filtres!$B$5="Français",Traduction!A184,Traduction!B184)</f>
        <v>Police 10</v>
      </c>
    </row>
    <row r="185" spans="1:3" x14ac:dyDescent="0.45">
      <c r="A185" s="32" t="s">
        <v>389</v>
      </c>
      <c r="B185" s="33" t="s">
        <v>390</v>
      </c>
      <c r="C185" s="34" t="str">
        <f>IF(Filtres!$B$5="Français",Traduction!A185,Traduction!B185)</f>
        <v>Je joins une copie de l'illustration</v>
      </c>
    </row>
    <row r="186" spans="1:3" x14ac:dyDescent="0.45">
      <c r="A186" s="32" t="s">
        <v>391</v>
      </c>
      <c r="B186" s="33" t="s">
        <v>392</v>
      </c>
      <c r="C186" s="34" t="str">
        <f>IF(Filtres!$B$5="Français",Traduction!A186,Traduction!B186)</f>
        <v>Personne assurée</v>
      </c>
    </row>
    <row r="187" spans="1:3" x14ac:dyDescent="0.45">
      <c r="A187" s="32" t="s">
        <v>393</v>
      </c>
      <c r="B187" s="33" t="s">
        <v>394</v>
      </c>
      <c r="C187" s="34" t="str">
        <f>IF(Filtres!$B$5="Français",Traduction!A187,Traduction!B187)</f>
        <v>Capital décès ($)</v>
      </c>
    </row>
    <row r="188" spans="1:3" x14ac:dyDescent="0.45">
      <c r="A188" s="32" t="s">
        <v>395</v>
      </c>
      <c r="B188" s="33" t="s">
        <v>396</v>
      </c>
      <c r="C188" s="34" t="str">
        <f>IF(Filtres!$B$5="Français",Traduction!A188,Traduction!B188)</f>
        <v>Année de fin si temporaire</v>
      </c>
    </row>
    <row r="189" spans="1:3" x14ac:dyDescent="0.45">
      <c r="A189" s="32" t="s">
        <v>397</v>
      </c>
      <c r="B189" s="33" t="s">
        <v>398</v>
      </c>
      <c r="C189" s="34" t="str">
        <f>IF(Filtres!$B$5="Français",Traduction!A189,Traduction!B189)</f>
        <v>Taux de croissance de la valeur de rachat si vie universelle (%)</v>
      </c>
    </row>
    <row r="190" spans="1:3" x14ac:dyDescent="0.45">
      <c r="A190" s="32" t="s">
        <v>399</v>
      </c>
      <c r="B190" s="33" t="s">
        <v>400</v>
      </c>
      <c r="C190" s="34" t="str">
        <f>IF(Filtres!$B$5="Français",Traduction!A190,Traduction!B190)</f>
        <v>Fonds payable au décès si vie universelle ($)</v>
      </c>
    </row>
    <row r="191" spans="1:3" x14ac:dyDescent="0.45">
      <c r="A191" s="32" t="s">
        <v>401</v>
      </c>
      <c r="B191" s="33" t="s">
        <v>402</v>
      </c>
      <c r="C191" s="34" t="str">
        <f>IF(Filtres!$B$5="Français",Traduction!A191,Traduction!B191)</f>
        <v>Assurance(s) corporative(s)</v>
      </c>
    </row>
    <row r="192" spans="1:3" x14ac:dyDescent="0.45">
      <c r="A192" s="32" t="s">
        <v>403</v>
      </c>
      <c r="B192" s="33" t="s">
        <v>404</v>
      </c>
      <c r="C192" s="34" t="str">
        <f>IF(Filtres!$B$5="Français",Traduction!A192,Traduction!B192)</f>
        <v xml:space="preserve">Je joins une copie de l'illustration détaillée qui contient l'évolution du CBR et de la valeur de rachat pour chaque année. </v>
      </c>
    </row>
    <row r="193" spans="1:3" x14ac:dyDescent="0.45">
      <c r="A193" s="32" t="s">
        <v>405</v>
      </c>
      <c r="B193" s="33" t="s">
        <v>406</v>
      </c>
      <c r="C193" s="34" t="str">
        <f>IF(Filtres!$B$5="Français",Traduction!A193,Traduction!B193)</f>
        <v>Prestation maladie ($)</v>
      </c>
    </row>
    <row r="194" spans="1:3" x14ac:dyDescent="0.45">
      <c r="A194" s="32" t="s">
        <v>407</v>
      </c>
      <c r="B194" s="33" t="s">
        <v>408</v>
      </c>
      <c r="C194" s="34" t="str">
        <f>IF(Filtres!$B$5="Français",Traduction!A194,Traduction!B194)</f>
        <v>Prime annuelle ($)</v>
      </c>
    </row>
    <row r="195" spans="1:3" x14ac:dyDescent="0.45">
      <c r="A195" s="32" t="s">
        <v>409</v>
      </c>
      <c r="B195" s="33" t="s">
        <v>410</v>
      </c>
      <c r="C195" s="34" t="str">
        <f>IF(Filtres!$B$5="Français",Traduction!A195,Traduction!B195)</f>
        <v>Autre(s) actif(s)</v>
      </c>
    </row>
    <row r="196" spans="1:3" x14ac:dyDescent="0.45">
      <c r="A196" s="32" t="s">
        <v>411</v>
      </c>
      <c r="B196" s="33" t="s">
        <v>412</v>
      </c>
      <c r="C196" s="34" t="str">
        <f>IF(Filtres!$B$5="Français",Traduction!A196,Traduction!B196)</f>
        <v>Actif 1</v>
      </c>
    </row>
    <row r="197" spans="1:3" x14ac:dyDescent="0.45">
      <c r="A197" s="32" t="s">
        <v>413</v>
      </c>
      <c r="B197" s="33" t="s">
        <v>414</v>
      </c>
      <c r="C197" s="34" t="str">
        <f>IF(Filtres!$B$5="Français",Traduction!A197,Traduction!B197)</f>
        <v>Actif 2</v>
      </c>
    </row>
    <row r="198" spans="1:3" x14ac:dyDescent="0.45">
      <c r="A198" s="32" t="s">
        <v>415</v>
      </c>
      <c r="B198" s="33" t="s">
        <v>416</v>
      </c>
      <c r="C198" s="34" t="str">
        <f>IF(Filtres!$B$5="Français",Traduction!A198,Traduction!B198)</f>
        <v>Actif 3</v>
      </c>
    </row>
    <row r="199" spans="1:3" x14ac:dyDescent="0.45">
      <c r="A199" s="32" t="s">
        <v>417</v>
      </c>
      <c r="B199" s="33" t="s">
        <v>418</v>
      </c>
      <c r="C199" s="34" t="str">
        <f>IF(Filtres!$B$5="Français",Traduction!A199,Traduction!B199)</f>
        <v>Actif 4</v>
      </c>
    </row>
    <row r="200" spans="1:3" x14ac:dyDescent="0.45">
      <c r="A200" s="32" t="s">
        <v>419</v>
      </c>
      <c r="B200" s="33" t="s">
        <v>420</v>
      </c>
      <c r="C200" s="34" t="str">
        <f>IF(Filtres!$B$5="Français",Traduction!A200,Traduction!B200)</f>
        <v>Actif 5</v>
      </c>
    </row>
    <row r="201" spans="1:3" x14ac:dyDescent="0.45">
      <c r="A201" s="32" t="s">
        <v>421</v>
      </c>
      <c r="B201" s="33" t="s">
        <v>422</v>
      </c>
      <c r="C201" s="34" t="str">
        <f>IF(Filtres!$B$5="Français",Traduction!A201,Traduction!B201)</f>
        <v>Type (ex. résidence, chalet, actifs d'entreprise etc.)</v>
      </c>
    </row>
    <row r="202" spans="1:3" x14ac:dyDescent="0.45">
      <c r="A202" s="32" t="s">
        <v>423</v>
      </c>
      <c r="B202" s="33" t="s">
        <v>424</v>
      </c>
      <c r="C202" s="34" t="str">
        <f>IF(Filtres!$B$5="Français",Traduction!A202,Traduction!B202)</f>
        <v xml:space="preserve">Nom du ou des détenteur(s) (nom de la société ou du client, les informations doivent être inscrites dans les sections précédentes pour être inclus dans le menu déroulant) </v>
      </c>
    </row>
    <row r="203" spans="1:3" x14ac:dyDescent="0.45">
      <c r="A203" s="32" t="s">
        <v>425</v>
      </c>
      <c r="B203" s="33" t="s">
        <v>426</v>
      </c>
      <c r="C203" s="34" t="str">
        <f>IF(Filtres!$B$5="Français",Traduction!A203,Traduction!B203)</f>
        <v>Pourcentage détenu par le client ou la société (%)</v>
      </c>
    </row>
    <row r="204" spans="1:3" x14ac:dyDescent="0.45">
      <c r="A204" s="32" t="s">
        <v>427</v>
      </c>
      <c r="B204" s="33" t="s">
        <v>428</v>
      </c>
      <c r="C204" s="34" t="str">
        <f>IF(Filtres!$B$5="Français",Traduction!A204,Traduction!B204)</f>
        <v>Valeur marchande totale ($)</v>
      </c>
    </row>
    <row r="205" spans="1:3" x14ac:dyDescent="0.45">
      <c r="A205" s="32" t="s">
        <v>429</v>
      </c>
      <c r="B205" s="33" t="s">
        <v>430</v>
      </c>
      <c r="C205" s="34" t="str">
        <f>IF(Filtres!$B$5="Français",Traduction!A205,Traduction!B205)</f>
        <v>Prix de base rajusté total ($)</v>
      </c>
    </row>
    <row r="206" spans="1:3" x14ac:dyDescent="0.45">
      <c r="A206" s="32" t="s">
        <v>431</v>
      </c>
      <c r="B206" s="33" t="s">
        <v>432</v>
      </c>
      <c r="C206" s="34" t="str">
        <f>IF(Filtres!$B$5="Français",Traduction!A206,Traduction!B206)</f>
        <v>Revenus nets annuels s'il y a lieu ($)</v>
      </c>
    </row>
    <row r="207" spans="1:3" x14ac:dyDescent="0.45">
      <c r="A207" s="32" t="s">
        <v>433</v>
      </c>
      <c r="B207" s="33" t="s">
        <v>434</v>
      </c>
      <c r="C207" s="34" t="str">
        <f>IF(Filtres!$B$5="Français",Traduction!A207,Traduction!B207)</f>
        <v>Fraction non amortie du coût en capital s'il y a lieu ($)</v>
      </c>
    </row>
    <row r="208" spans="1:3" x14ac:dyDescent="0.45">
      <c r="A208" s="32" t="s">
        <v>435</v>
      </c>
      <c r="B208" s="33" t="s">
        <v>436</v>
      </c>
      <c r="C208" s="34" t="str">
        <f>IF(Filtres!$B$5="Français",Traduction!A208,Traduction!B208)</f>
        <v>Biens agricoles ou de pêches admissibles (BAPA)</v>
      </c>
    </row>
    <row r="209" spans="1:3" x14ac:dyDescent="0.45">
      <c r="A209" s="32" t="s">
        <v>437</v>
      </c>
      <c r="B209" s="33" t="s">
        <v>438</v>
      </c>
      <c r="C209" s="34" t="str">
        <f>IF(Filtres!$B$5="Français",Traduction!A209,Traduction!B209)</f>
        <v>Solde du prêt ($)</v>
      </c>
    </row>
    <row r="210" spans="1:3" x14ac:dyDescent="0.45">
      <c r="A210" s="32" t="s">
        <v>439</v>
      </c>
      <c r="B210" s="33" t="s">
        <v>440</v>
      </c>
      <c r="C210" s="34" t="str">
        <f>IF(Filtres!$B$5="Français",Traduction!A210,Traduction!B210)</f>
        <v>Date de fin du paiement du prêt (aaaa-mm-jj)</v>
      </c>
    </row>
    <row r="211" spans="1:3" x14ac:dyDescent="0.45">
      <c r="A211" s="32" t="s">
        <v>441</v>
      </c>
      <c r="B211" s="33" t="s">
        <v>442</v>
      </c>
      <c r="C211" s="34" t="str">
        <f>IF(Filtres!$B$5="Français",Traduction!A211,Traduction!B211)</f>
        <v>Taux d'intérêt sur le prêt (%)</v>
      </c>
    </row>
    <row r="212" spans="1:3" x14ac:dyDescent="0.45">
      <c r="A212" s="32" t="s">
        <v>443</v>
      </c>
      <c r="B212" s="33" t="s">
        <v>354</v>
      </c>
      <c r="C212" s="34" t="str">
        <f>IF(Filtres!$B$5="Français",Traduction!A212,Traduction!B212)</f>
        <v>Année de vente</v>
      </c>
    </row>
    <row r="213" spans="1:3" x14ac:dyDescent="0.45">
      <c r="A213" s="32" t="s">
        <v>444</v>
      </c>
      <c r="B213" s="33" t="s">
        <v>445</v>
      </c>
      <c r="C213" s="34" t="str">
        <f>IF(Filtres!$B$5="Français",Traduction!A213,Traduction!B213)</f>
        <v>Vente d'une société opérante</v>
      </c>
    </row>
    <row r="214" spans="1:3" x14ac:dyDescent="0.45">
      <c r="A214" s="32" t="s">
        <v>446</v>
      </c>
      <c r="B214" s="33" t="s">
        <v>447</v>
      </c>
      <c r="C214" s="34" t="str">
        <f>IF(Filtres!$B$5="Français",Traduction!A214,Traduction!B214)</f>
        <v xml:space="preserve">Société opérante vendue 1 </v>
      </c>
    </row>
    <row r="215" spans="1:3" x14ac:dyDescent="0.45">
      <c r="A215" s="32" t="s">
        <v>448</v>
      </c>
      <c r="B215" s="33" t="s">
        <v>449</v>
      </c>
      <c r="C215" s="34" t="str">
        <f>IF(Filtres!$B$5="Français",Traduction!A215,Traduction!B215)</f>
        <v>Société opérante vendue 2</v>
      </c>
    </row>
    <row r="216" spans="1:3" x14ac:dyDescent="0.45">
      <c r="A216" s="32" t="s">
        <v>450</v>
      </c>
      <c r="B216" s="33" t="s">
        <v>451</v>
      </c>
      <c r="C216" s="34" t="str">
        <f>IF(Filtres!$B$5="Français",Traduction!A216,Traduction!B216)</f>
        <v>Société opérante vendue 3</v>
      </c>
    </row>
    <row r="217" spans="1:3" x14ac:dyDescent="0.45">
      <c r="A217" s="32" t="s">
        <v>452</v>
      </c>
      <c r="B217" s="33" t="s">
        <v>453</v>
      </c>
      <c r="C217" s="34" t="str">
        <f>IF(Filtres!$B$5="Français",Traduction!A217,Traduction!B217)</f>
        <v>Société opérante vendue 4</v>
      </c>
    </row>
    <row r="218" spans="1:3" x14ac:dyDescent="0.45">
      <c r="A218" s="32" t="s">
        <v>454</v>
      </c>
      <c r="B218" s="33" t="s">
        <v>455</v>
      </c>
      <c r="C218" s="34" t="str">
        <f>IF(Filtres!$B$5="Français",Traduction!A218,Traduction!B218)</f>
        <v>Société opérante vendue 5</v>
      </c>
    </row>
    <row r="219" spans="1:3" x14ac:dyDescent="0.45">
      <c r="A219" s="32" t="s">
        <v>456</v>
      </c>
      <c r="B219" s="33" t="s">
        <v>457</v>
      </c>
      <c r="C219" s="34" t="str">
        <f>IF(Filtres!$B$5="Français",Traduction!A219,Traduction!B219)</f>
        <v>Société opérante vendue 6</v>
      </c>
    </row>
    <row r="220" spans="1:3" x14ac:dyDescent="0.45">
      <c r="A220" s="32" t="s">
        <v>458</v>
      </c>
      <c r="B220" s="33" t="s">
        <v>459</v>
      </c>
      <c r="C220" s="34" t="str">
        <f>IF(Filtres!$B$5="Français",Traduction!A220,Traduction!B220)</f>
        <v>Société opérante vendue 7</v>
      </c>
    </row>
    <row r="221" spans="1:3" x14ac:dyDescent="0.45">
      <c r="A221" s="32" t="s">
        <v>460</v>
      </c>
      <c r="B221" s="33" t="s">
        <v>461</v>
      </c>
      <c r="C221" s="34" t="str">
        <f>IF(Filtres!$B$5="Français",Traduction!A221,Traduction!B221)</f>
        <v>Société opérante vendue 8</v>
      </c>
    </row>
    <row r="222" spans="1:3" x14ac:dyDescent="0.45">
      <c r="A222" s="32" t="s">
        <v>462</v>
      </c>
      <c r="B222" s="33" t="s">
        <v>463</v>
      </c>
      <c r="C222" s="34" t="str">
        <f>IF(Filtres!$B$5="Français",Traduction!A222,Traduction!B222)</f>
        <v>Société opérante vendue 9</v>
      </c>
    </row>
    <row r="223" spans="1:3" x14ac:dyDescent="0.45">
      <c r="A223" s="32" t="s">
        <v>464</v>
      </c>
      <c r="B223" s="33" t="s">
        <v>465</v>
      </c>
      <c r="C223" s="34" t="str">
        <f>IF(Filtres!$B$5="Français",Traduction!A223,Traduction!B223)</f>
        <v>Société opérante vendue 10</v>
      </c>
    </row>
    <row r="224" spans="1:3" x14ac:dyDescent="0.45">
      <c r="A224" s="32" t="s">
        <v>466</v>
      </c>
      <c r="B224" s="33" t="s">
        <v>467</v>
      </c>
      <c r="C224" s="34" t="str">
        <f>IF(Filtres!$B$5="Français",Traduction!A224,Traduction!B224)</f>
        <v xml:space="preserve">Nom de l'entreprise qui sera vendue (le nom doit être inscrit dans les sections en haut pour être inclus dans le menu déroulant) </v>
      </c>
    </row>
    <row r="225" spans="1:3" x14ac:dyDescent="0.45">
      <c r="A225" s="32" t="s">
        <v>468</v>
      </c>
      <c r="B225" s="33" t="s">
        <v>469</v>
      </c>
      <c r="C225" s="34" t="str">
        <f>IF(Filtres!$B$5="Français",Traduction!A225,Traduction!B225)</f>
        <v>Nom du client vendeur ou de la société vendeuse</v>
      </c>
    </row>
    <row r="226" spans="1:3" x14ac:dyDescent="0.45">
      <c r="A226" s="32" t="s">
        <v>470</v>
      </c>
      <c r="B226" s="33" t="s">
        <v>471</v>
      </c>
      <c r="C226" s="34" t="str">
        <f>IF(Filtres!$B$5="Français",Traduction!A226,Traduction!B226)</f>
        <v>Vente vers une personne liée (parent ou enfant)</v>
      </c>
    </row>
    <row r="227" spans="1:3" x14ac:dyDescent="0.45">
      <c r="A227" s="32" t="s">
        <v>472</v>
      </c>
      <c r="B227" s="33" t="s">
        <v>473</v>
      </c>
      <c r="C227" s="34" t="str">
        <f>IF(Filtres!$B$5="Français",Traduction!A227,Traduction!B227)</f>
        <v>Je joins un mémo fiscal détaillant la transaction de vente</v>
      </c>
    </row>
    <row r="228" spans="1:3" x14ac:dyDescent="0.45">
      <c r="A228" s="32" t="s">
        <v>474</v>
      </c>
      <c r="B228" s="33" t="s">
        <v>475</v>
      </c>
      <c r="C228" s="34" t="str">
        <f>IF(Filtres!$B$5="Français",Traduction!A228,Traduction!B228)</f>
        <v>Valeur marchande actuelle des actions ($)</v>
      </c>
    </row>
    <row r="229" spans="1:3" x14ac:dyDescent="0.45">
      <c r="A229" s="32" t="s">
        <v>476</v>
      </c>
      <c r="B229" s="33" t="s">
        <v>477</v>
      </c>
      <c r="C229" s="34" t="str">
        <f>IF(Filtres!$B$5="Français",Traduction!A229,Traduction!B229)</f>
        <v>Prix de base rajusté des actions ($)</v>
      </c>
    </row>
    <row r="230" spans="1:3" x14ac:dyDescent="0.45">
      <c r="A230" s="32" t="s">
        <v>478</v>
      </c>
      <c r="B230" s="33" t="s">
        <v>479</v>
      </c>
      <c r="C230" s="34" t="str">
        <f>IF(Filtres!$B$5="Français",Traduction!A230,Traduction!B230)</f>
        <v>Entreprise agricole</v>
      </c>
    </row>
    <row r="231" spans="1:3" x14ac:dyDescent="0.45">
      <c r="A231" s="32" t="s">
        <v>480</v>
      </c>
      <c r="B231" s="33" t="s">
        <v>481</v>
      </c>
      <c r="C231" s="34" t="str">
        <f>IF(Filtres!$B$5="Français",Traduction!A231,Traduction!B231)</f>
        <v>Actions admissibles à l'exonération pour gain en capital</v>
      </c>
    </row>
    <row r="232" spans="1:3" x14ac:dyDescent="0.45">
      <c r="A232" s="32" t="s">
        <v>482</v>
      </c>
      <c r="B232" s="33" t="s">
        <v>483</v>
      </c>
      <c r="C232" s="34" t="str">
        <f>IF(Filtres!$B$5="Français",Traduction!A232,Traduction!B232)</f>
        <v xml:space="preserve">Montant restant disponible pour l'exonération pour gain en capital du client vendeur </v>
      </c>
    </row>
    <row r="233" spans="1:3" x14ac:dyDescent="0.45">
      <c r="A233" s="32" t="s">
        <v>484</v>
      </c>
      <c r="B233" s="33" t="s">
        <v>485</v>
      </c>
      <c r="C233" s="34" t="str">
        <f>IF(Filtres!$B$5="Français",Traduction!A233,Traduction!B233)</f>
        <v>Dépense(s) extraordinaire(s)</v>
      </c>
    </row>
    <row r="234" spans="1:3" x14ac:dyDescent="0.45">
      <c r="A234" s="32" t="s">
        <v>486</v>
      </c>
      <c r="B234" s="33" t="s">
        <v>487</v>
      </c>
      <c r="C234" s="34" t="str">
        <f>IF(Filtres!$B$5="Français",Traduction!A234,Traduction!B234)</f>
        <v>Dépense extraordinaire 1</v>
      </c>
    </row>
    <row r="235" spans="1:3" x14ac:dyDescent="0.45">
      <c r="A235" s="32" t="s">
        <v>488</v>
      </c>
      <c r="B235" s="33" t="s">
        <v>489</v>
      </c>
      <c r="C235" s="34" t="str">
        <f>IF(Filtres!$B$5="Français",Traduction!A235,Traduction!B235)</f>
        <v>Dépense extraordinaire 2</v>
      </c>
    </row>
    <row r="236" spans="1:3" x14ac:dyDescent="0.45">
      <c r="A236" s="32" t="s">
        <v>490</v>
      </c>
      <c r="B236" s="33" t="s">
        <v>491</v>
      </c>
      <c r="C236" s="34" t="str">
        <f>IF(Filtres!$B$5="Français",Traduction!A236,Traduction!B236)</f>
        <v>Dépense extraordinaire 3</v>
      </c>
    </row>
    <row r="237" spans="1:3" x14ac:dyDescent="0.45">
      <c r="A237" s="32" t="s">
        <v>492</v>
      </c>
      <c r="B237" s="33" t="s">
        <v>493</v>
      </c>
      <c r="C237" s="34" t="str">
        <f>IF(Filtres!$B$5="Français",Traduction!A237,Traduction!B237)</f>
        <v>Dépense extraordinaire 4</v>
      </c>
    </row>
    <row r="238" spans="1:3" x14ac:dyDescent="0.45">
      <c r="A238" s="32" t="s">
        <v>494</v>
      </c>
      <c r="B238" s="33" t="s">
        <v>495</v>
      </c>
      <c r="C238" s="34" t="str">
        <f>IF(Filtres!$B$5="Français",Traduction!A238,Traduction!B238)</f>
        <v>Dépense extraordinaire 5</v>
      </c>
    </row>
    <row r="239" spans="1:3" x14ac:dyDescent="0.45">
      <c r="A239" s="32" t="s">
        <v>496</v>
      </c>
      <c r="B239" s="33" t="s">
        <v>497</v>
      </c>
      <c r="C239" s="34" t="str">
        <f>IF(Filtres!$B$5="Français",Traduction!A239,Traduction!B239)</f>
        <v>Nature de la dépense (ex.: rénovations de la résidence principale)</v>
      </c>
    </row>
    <row r="240" spans="1:3" x14ac:dyDescent="0.45">
      <c r="A240" s="32" t="s">
        <v>498</v>
      </c>
      <c r="B240" s="33" t="s">
        <v>499</v>
      </c>
      <c r="C240" s="34" t="str">
        <f>IF(Filtres!$B$5="Français",Traduction!A240,Traduction!B240)</f>
        <v>Montant de la dépense ($)</v>
      </c>
    </row>
    <row r="241" spans="1:3" x14ac:dyDescent="0.45">
      <c r="A241" s="32" t="s">
        <v>22</v>
      </c>
      <c r="B241" s="33" t="s">
        <v>500</v>
      </c>
      <c r="C241" s="34" t="str">
        <f>IF(Filtres!$B$5="Français",Traduction!A241,Traduction!B241)</f>
        <v>Année de début</v>
      </c>
    </row>
    <row r="242" spans="1:3" x14ac:dyDescent="0.45">
      <c r="A242" s="32" t="s">
        <v>23</v>
      </c>
      <c r="B242" s="33" t="s">
        <v>501</v>
      </c>
      <c r="C242" s="34" t="str">
        <f>IF(Filtres!$B$5="Français",Traduction!A242,Traduction!B242)</f>
        <v>Année de fin</v>
      </c>
    </row>
    <row r="243" spans="1:3" x14ac:dyDescent="0.45">
      <c r="A243" s="32" t="s">
        <v>502</v>
      </c>
      <c r="B243" s="33" t="s">
        <v>503</v>
      </c>
      <c r="C243" s="34" t="str">
        <f>IF(Filtres!$B$5="Français",Traduction!A243,Traduction!B243)</f>
        <v>Revenu(s) extraordinaire(s)</v>
      </c>
    </row>
    <row r="244" spans="1:3" x14ac:dyDescent="0.45">
      <c r="A244" s="32" t="s">
        <v>504</v>
      </c>
      <c r="B244" s="33" t="s">
        <v>505</v>
      </c>
      <c r="C244" s="34" t="str">
        <f>IF(Filtres!$B$5="Français",Traduction!A244,Traduction!B244)</f>
        <v>Revenu extraordinaire 1</v>
      </c>
    </row>
    <row r="245" spans="1:3" x14ac:dyDescent="0.45">
      <c r="A245" s="32" t="s">
        <v>506</v>
      </c>
      <c r="B245" s="33" t="s">
        <v>507</v>
      </c>
      <c r="C245" s="34" t="str">
        <f>IF(Filtres!$B$5="Français",Traduction!A245,Traduction!B245)</f>
        <v>Revenu extraordinaire 2</v>
      </c>
    </row>
    <row r="246" spans="1:3" x14ac:dyDescent="0.45">
      <c r="A246" s="32" t="s">
        <v>508</v>
      </c>
      <c r="B246" s="33" t="s">
        <v>509</v>
      </c>
      <c r="C246" s="34" t="str">
        <f>IF(Filtres!$B$5="Français",Traduction!A246,Traduction!B246)</f>
        <v>Revenu extraordinaire 3</v>
      </c>
    </row>
    <row r="247" spans="1:3" x14ac:dyDescent="0.45">
      <c r="A247" s="32" t="s">
        <v>510</v>
      </c>
      <c r="B247" s="33" t="s">
        <v>511</v>
      </c>
      <c r="C247" s="34" t="str">
        <f>IF(Filtres!$B$5="Français",Traduction!A247,Traduction!B247)</f>
        <v>Revenu extraordinaire 4</v>
      </c>
    </row>
    <row r="248" spans="1:3" x14ac:dyDescent="0.45">
      <c r="A248" s="32" t="s">
        <v>512</v>
      </c>
      <c r="B248" s="33" t="s">
        <v>513</v>
      </c>
      <c r="C248" s="34" t="str">
        <f>IF(Filtres!$B$5="Français",Traduction!A248,Traduction!B248)</f>
        <v>Revenu extraordinaire 5</v>
      </c>
    </row>
    <row r="249" spans="1:3" x14ac:dyDescent="0.45">
      <c r="A249" s="32" t="s">
        <v>19</v>
      </c>
      <c r="B249" s="33" t="s">
        <v>514</v>
      </c>
      <c r="C249" s="34" t="str">
        <f>IF(Filtres!$B$5="Français",Traduction!A249,Traduction!B249)</f>
        <v>Nature du revenu (ex.: héritage)</v>
      </c>
    </row>
    <row r="250" spans="1:3" x14ac:dyDescent="0.45">
      <c r="A250" s="32" t="s">
        <v>20</v>
      </c>
      <c r="B250" s="33" t="s">
        <v>515</v>
      </c>
      <c r="C250" s="34" t="str">
        <f>IF(Filtres!$B$5="Français",Traduction!A250,Traduction!B250)</f>
        <v>Montant brut du revenu ($)</v>
      </c>
    </row>
    <row r="251" spans="1:3" x14ac:dyDescent="0.45">
      <c r="A251" s="58" t="s">
        <v>21</v>
      </c>
      <c r="B251" s="59" t="s">
        <v>516</v>
      </c>
      <c r="C251" s="60" t="str">
        <f>IF(Filtres!$B$5="Français",Traduction!A251,Traduction!B251)</f>
        <v>Personne qui reçoit (inscrire dans la case gauche ou droite)</v>
      </c>
    </row>
    <row r="252" spans="1:3" x14ac:dyDescent="0.45">
      <c r="A252" s="32" t="s">
        <v>517</v>
      </c>
      <c r="B252" s="33" t="s">
        <v>518</v>
      </c>
      <c r="C252" s="60" t="str">
        <f>IF(Filtres!$B$5="Français",Traduction!A252,Traduction!B252)</f>
        <v>Information obligatoire manquante</v>
      </c>
    </row>
    <row r="253" spans="1:3" ht="14.65" thickBot="1" x14ac:dyDescent="0.5">
      <c r="A253" s="35" t="s">
        <v>519</v>
      </c>
      <c r="B253" s="36" t="s">
        <v>520</v>
      </c>
      <c r="C253" s="60" t="str">
        <f>IF(Filtres!$B$5="Français",Traduction!A253,Traduction!B253)</f>
        <v>Nombre d'informations manquantes</v>
      </c>
    </row>
    <row r="254" spans="1:3" x14ac:dyDescent="0.45">
      <c r="A254" s="61" t="s">
        <v>521</v>
      </c>
      <c r="B254" s="62" t="s">
        <v>522</v>
      </c>
      <c r="C254" s="63" t="str">
        <f>IF(Filtres!$B$5="Français",Traduction!A254,Traduction!B254)</f>
        <v>Documents à remettre</v>
      </c>
    </row>
    <row r="255" spans="1:3" x14ac:dyDescent="0.45">
      <c r="A255" s="38" t="s">
        <v>523</v>
      </c>
      <c r="B255" s="28" t="s">
        <v>524</v>
      </c>
      <c r="C255" s="39" t="str">
        <f>IF(Filtres!$B$5="Français",Traduction!A255,Traduction!B255)</f>
        <v>Joint</v>
      </c>
    </row>
    <row r="256" spans="1:3" x14ac:dyDescent="0.45">
      <c r="A256" s="38" t="s">
        <v>525</v>
      </c>
      <c r="B256" s="28" t="s">
        <v>526</v>
      </c>
      <c r="C256" s="39" t="str">
        <f>IF(Filtres!$B$5="Français",Traduction!A256,Traduction!B256)</f>
        <v>Personne à contacter</v>
      </c>
    </row>
    <row r="257" spans="1:3" x14ac:dyDescent="0.45">
      <c r="A257" s="38" t="str">
        <f>"Relevés de placements personnels "&amp;'Questionnaire OF'!B1</f>
        <v>Relevés de placements personnels Monsieur X</v>
      </c>
      <c r="B257" s="28" t="str">
        <f>"Statement of personal investments "&amp;'Questionnaire OF'!B1</f>
        <v>Statement of personal investments Monsieur X</v>
      </c>
      <c r="C257" s="39" t="str">
        <f>IF(Filtres!$B$5="Français",Traduction!A257,Traduction!B257)</f>
        <v>Relevés de placements personnels Monsieur X</v>
      </c>
    </row>
    <row r="258" spans="1:3" x14ac:dyDescent="0.45">
      <c r="A258" s="38" t="str">
        <f>"Relevés de placements personnels " &amp;  'Questionnaire OF'!C1</f>
        <v>Relevés de placements personnels Monsieur Y</v>
      </c>
      <c r="B258" s="28" t="str">
        <f>"Statement of personal investments " &amp;  'Questionnaire OF'!C1</f>
        <v>Statement of personal investments Monsieur Y</v>
      </c>
      <c r="C258" s="39" t="str">
        <f>IF(Filtres!$B$5="Français",Traduction!A258,Traduction!B258)</f>
        <v>Relevés de placements personnels Monsieur Y</v>
      </c>
    </row>
    <row r="259" spans="1:3" x14ac:dyDescent="0.45">
      <c r="A259" s="38" t="s">
        <v>527</v>
      </c>
      <c r="B259" s="28" t="s">
        <v>528</v>
      </c>
      <c r="C259" s="39" t="str">
        <f>IF(Filtres!$B$5="Français",Traduction!A259,Traduction!B259)</f>
        <v>Relevé(s) de placement(s) société(s)</v>
      </c>
    </row>
    <row r="260" spans="1:3" x14ac:dyDescent="0.45">
      <c r="A260" s="38" t="s">
        <v>529</v>
      </c>
      <c r="B260" s="28" t="s">
        <v>530</v>
      </c>
      <c r="C260" s="39" t="str">
        <f>IF(Filtres!$B$5="Français",Traduction!A260,Traduction!B260)</f>
        <v>Relevé détaillé RRQ</v>
      </c>
    </row>
    <row r="261" spans="1:3" x14ac:dyDescent="0.45">
      <c r="A261" s="38" t="s">
        <v>531</v>
      </c>
      <c r="B261" s="28" t="s">
        <v>532</v>
      </c>
      <c r="C261" s="39" t="str">
        <f>IF(Filtres!$B$5="Français",Traduction!A261,Traduction!B261)</f>
        <v>États financiers gestion</v>
      </c>
    </row>
    <row r="262" spans="1:3" x14ac:dyDescent="0.45">
      <c r="A262" s="38" t="s">
        <v>533</v>
      </c>
      <c r="B262" s="28" t="s">
        <v>534</v>
      </c>
      <c r="C262" s="39" t="str">
        <f>IF(Filtres!$B$5="Français",Traduction!A262,Traduction!B262)</f>
        <v>États financiers société(s) opérante(s)</v>
      </c>
    </row>
    <row r="263" spans="1:3" x14ac:dyDescent="0.45">
      <c r="A263" s="38" t="s">
        <v>535</v>
      </c>
      <c r="B263" s="28" t="s">
        <v>536</v>
      </c>
      <c r="C263" s="39" t="str">
        <f>IF(Filtres!$B$5="Français",Traduction!A263,Traduction!B263)</f>
        <v xml:space="preserve">Déclaration de revenus T2 société(s) de gestion </v>
      </c>
    </row>
    <row r="264" spans="1:3" x14ac:dyDescent="0.45">
      <c r="A264" s="38" t="s">
        <v>537</v>
      </c>
      <c r="B264" s="28" t="s">
        <v>538</v>
      </c>
      <c r="C264" s="39" t="str">
        <f>IF(Filtres!$B$5="Français",Traduction!A264,Traduction!B264)</f>
        <v xml:space="preserve">Déclaration de revenus T2 société(s) de opérante(s) </v>
      </c>
    </row>
    <row r="265" spans="1:3" x14ac:dyDescent="0.45">
      <c r="A265" s="38" t="s">
        <v>539</v>
      </c>
      <c r="B265" s="28" t="s">
        <v>540</v>
      </c>
      <c r="C265" s="39" t="str">
        <f>IF(Filtres!$B$5="Français",Traduction!A265,Traduction!B265)</f>
        <v>Organigramme</v>
      </c>
    </row>
    <row r="266" spans="1:3" x14ac:dyDescent="0.45">
      <c r="A266" s="38" t="s">
        <v>541</v>
      </c>
      <c r="B266" s="28" t="s">
        <v>542</v>
      </c>
      <c r="C266" s="39" t="str">
        <f>IF(Filtres!$B$5="Français",Traduction!A266,Traduction!B266)</f>
        <v>Acte de fiducie</v>
      </c>
    </row>
    <row r="267" spans="1:3" x14ac:dyDescent="0.45">
      <c r="A267" s="38" t="s">
        <v>543</v>
      </c>
      <c r="B267" s="28" t="s">
        <v>544</v>
      </c>
      <c r="C267" s="39" t="str">
        <f>IF(Filtres!$B$5="Français",Traduction!A267,Traduction!B267)</f>
        <v>Illustration(s) d'assurance(s) vie personnelle(s)</v>
      </c>
    </row>
    <row r="268" spans="1:3" x14ac:dyDescent="0.45">
      <c r="A268" s="38" t="s">
        <v>545</v>
      </c>
      <c r="B268" s="28" t="s">
        <v>546</v>
      </c>
      <c r="C268" s="39" t="str">
        <f>IF(Filtres!$B$5="Français",Traduction!A268,Traduction!B268)</f>
        <v>Illustration(s) d'assurance(s) vie corporative(s)</v>
      </c>
    </row>
    <row r="269" spans="1:3" x14ac:dyDescent="0.45">
      <c r="A269" s="38" t="s">
        <v>547</v>
      </c>
      <c r="B269" s="28" t="s">
        <v>548</v>
      </c>
      <c r="C269" s="39" t="str">
        <f>IF(Filtres!$B$5="Français",Traduction!A269,Traduction!B269)</f>
        <v>Relevé(s) de fonds de pension</v>
      </c>
    </row>
    <row r="270" spans="1:3" x14ac:dyDescent="0.45">
      <c r="A270" s="38" t="s">
        <v>549</v>
      </c>
      <c r="B270" s="28" t="s">
        <v>550</v>
      </c>
      <c r="C270" s="39" t="str">
        <f>IF(Filtres!$B$5="Français",Traduction!A270,Traduction!B270)</f>
        <v>États financiers de la S.E.N.C</v>
      </c>
    </row>
    <row r="271" spans="1:3" x14ac:dyDescent="0.45">
      <c r="A271" s="38" t="s">
        <v>551</v>
      </c>
      <c r="B271" s="28" t="s">
        <v>552</v>
      </c>
      <c r="C271" s="39" t="str">
        <f>IF(Filtres!$B$5="Français",Traduction!A271,Traduction!B271)</f>
        <v>Déclaration(s) de revenus (fédérale)</v>
      </c>
    </row>
    <row r="272" spans="1:3" x14ac:dyDescent="0.45">
      <c r="A272" s="38" t="s">
        <v>553</v>
      </c>
      <c r="B272" s="28" t="s">
        <v>554</v>
      </c>
      <c r="C272" s="39" t="str">
        <f>IF(Filtres!$B$5="Français",Traduction!A272,Traduction!B272)</f>
        <v>Avis de cotisation (fédéral)</v>
      </c>
    </row>
    <row r="273" spans="1:3" x14ac:dyDescent="0.45">
      <c r="A273" s="38" t="s">
        <v>555</v>
      </c>
      <c r="B273" s="28" t="s">
        <v>556</v>
      </c>
      <c r="C273" s="39" t="str">
        <f>IF(Filtres!$B$5="Français",Traduction!A273,Traduction!B273)</f>
        <v>Comptable</v>
      </c>
    </row>
    <row r="274" spans="1:3" x14ac:dyDescent="0.45">
      <c r="A274" s="38" t="s">
        <v>557</v>
      </c>
      <c r="B274" s="28" t="s">
        <v>558</v>
      </c>
      <c r="C274" s="39" t="str">
        <f>IF(Filtres!$B$5="Français",Traduction!A274,Traduction!B274)</f>
        <v>Fiscaliste/comptable</v>
      </c>
    </row>
    <row r="275" spans="1:3" x14ac:dyDescent="0.45">
      <c r="A275" s="38" t="s">
        <v>559</v>
      </c>
      <c r="B275" s="28" t="s">
        <v>560</v>
      </c>
      <c r="C275" s="39" t="str">
        <f>IF(Filtres!$B$5="Français",Traduction!A275,Traduction!B275)</f>
        <v>Client/assureur/conseiller</v>
      </c>
    </row>
    <row r="276" spans="1:3" x14ac:dyDescent="0.45">
      <c r="A276" s="38" t="s">
        <v>561</v>
      </c>
      <c r="B276" s="28" t="s">
        <v>562</v>
      </c>
      <c r="C276" s="39" t="str">
        <f>IF(Filtres!$B$5="Français",Traduction!A276,Traduction!B276)</f>
        <v xml:space="preserve">*Si des documents sont manquants et/ou des cases sont restées en rouges au questionnaire, j'autorise à ce que des hypothèses </v>
      </c>
    </row>
    <row r="277" spans="1:3" x14ac:dyDescent="0.45">
      <c r="A277" s="38" t="s">
        <v>563</v>
      </c>
      <c r="B277" s="28" t="s">
        <v>564</v>
      </c>
      <c r="C277" s="39" t="str">
        <f>IF(Filtres!$B$5="Français",Traduction!A277,Traduction!B277)</f>
        <v>soient prises et ce, si la quantité d'informations remises est suffisante. Je comprends que toute hypothèse posée est suceptible de ne</v>
      </c>
    </row>
    <row r="278" spans="1:3" x14ac:dyDescent="0.45">
      <c r="A278" s="38" t="s">
        <v>565</v>
      </c>
      <c r="B278" s="28" t="s">
        <v>566</v>
      </c>
      <c r="C278" s="39" t="str">
        <f>IF(Filtres!$B$5="Français",Traduction!A278,Traduction!B278)</f>
        <v xml:space="preserve">pas représenter la réalité. Je m'engage à en aviser clairement mon ou mes clients et je comprends que cela peut avoir un impact </v>
      </c>
    </row>
    <row r="279" spans="1:3" x14ac:dyDescent="0.45">
      <c r="A279" s="38" t="s">
        <v>567</v>
      </c>
      <c r="B279" s="28" t="s">
        <v>568</v>
      </c>
      <c r="C279" s="39" t="str">
        <f>IF(Filtres!$B$5="Français",Traduction!A279,Traduction!B279)</f>
        <v>sur les résultats de l'analyse et sur les recommandations.</v>
      </c>
    </row>
    <row r="280" spans="1:3" x14ac:dyDescent="0.45">
      <c r="A280" s="38" t="s">
        <v>569</v>
      </c>
      <c r="B280" s="28" t="s">
        <v>570</v>
      </c>
      <c r="C280" s="39" t="str">
        <f>IF(Filtres!$B$5="Français",Traduction!A280,Traduction!B280)</f>
        <v>Signature ou nom du conseiller</v>
      </c>
    </row>
    <row r="281" spans="1:3" x14ac:dyDescent="0.45">
      <c r="A281" s="44" t="s">
        <v>571</v>
      </c>
      <c r="B281" s="45" t="s">
        <v>572</v>
      </c>
      <c r="C281" s="46" t="str">
        <f>IF(Filtres!$B$5="Français",Traduction!A281,Traduction!B281)</f>
        <v>Utiliser cet espace pour apporter tout élément de précision aditionnel sur le dossier.</v>
      </c>
    </row>
    <row r="282" spans="1:3" x14ac:dyDescent="0.45">
      <c r="A282" s="28" t="str">
        <f>IF('Questionnaire OF'!B14="Oui","Oui","Manquant")</f>
        <v>Manquant</v>
      </c>
      <c r="B282" s="28" t="str">
        <f>IF('Questionnaire OF'!B14="Yes","Yes","Missing")</f>
        <v>Missing</v>
      </c>
      <c r="C282" s="28" t="str">
        <f>IF(Filtres!$B$5="Français",Traduction!A282,Traduction!B282)</f>
        <v>Manquant</v>
      </c>
    </row>
    <row r="283" spans="1:3" x14ac:dyDescent="0.45">
      <c r="A283" s="28" t="str">
        <f>IF(AND(NbClients=2,'Questionnaire OF'!C14="Oui"),"Oui",IF(NbClients=1,"Non applicable","Manquant"))</f>
        <v>Manquant</v>
      </c>
      <c r="B283" s="28" t="str">
        <f>IF(AND(NbClients=2,'Questionnaire OF'!C14="Yes"),"Yes",IF(NbClients=1,"Not applicable","Missing"))</f>
        <v>Missing</v>
      </c>
      <c r="C283" s="28" t="str">
        <f>IF(Filtres!$B$5="Français",Traduction!A283,Traduction!B283)</f>
        <v>Manquant</v>
      </c>
    </row>
    <row r="284" spans="1:3" x14ac:dyDescent="0.45">
      <c r="A284" s="28" t="str">
        <f>IF(Filtres!B15&gt;0,COUNTIF('Questionnaire OF'!B112:C112:'Questionnaire OF'!B126:C126:'Questionnaire OF'!B140:C140:'Questionnaire OF'!B154:C154:'Questionnaire OF'!B168:C168,"Oui")&amp; " sur " &amp; Filtres!B15,"Non applicable")</f>
        <v>0 sur 1</v>
      </c>
      <c r="B284" s="28" t="str">
        <f>IF(Filtres!B15&gt;0,COUNTIF('Questionnaire OF'!B112:C112:'Questionnaire OF'!B126:C126:'Questionnaire OF'!B140:C140:'Questionnaire OF'!B154:C154:'Questionnaire OF'!B168:C168,"Yes")&amp; " out of " &amp; Filtres!B15,"Not applicable")</f>
        <v>0 out of 1</v>
      </c>
      <c r="C284" s="28" t="str">
        <f>IF(Filtres!$B$5="Français",Traduction!A284,Traduction!B284)</f>
        <v>0 sur 1</v>
      </c>
    </row>
    <row r="285" spans="1:3" x14ac:dyDescent="0.45">
      <c r="A285" s="28" t="str">
        <f>IF(Filtres!B24="Oui","Oui","Manquant")</f>
        <v>Manquant</v>
      </c>
      <c r="B285" s="28" t="str">
        <f>IF(Filtres!B24="Yes","Yes","Missing")</f>
        <v>Missing</v>
      </c>
      <c r="C285" s="28" t="str">
        <f>IF(Filtres!$B$5="Français",Traduction!A285,Traduction!B285)</f>
        <v>Manquant</v>
      </c>
    </row>
    <row r="286" spans="1:3" x14ac:dyDescent="0.45">
      <c r="A286" s="28" t="str">
        <f>IF(Filtres!B15&gt;0,COUNTIF('Questionnaire OF'!B113:C113:'Questionnaire OF'!B127:C127:'Questionnaire OF'!B141:C141:'Questionnaire OF'!B155:C155:'Questionnaire OF'!B169:C169,"Oui")&amp; " sur " &amp; Filtres!B15,"Non applicable")</f>
        <v>0 sur 1</v>
      </c>
      <c r="B286" s="28" t="str">
        <f>IF(Filtres!B15&gt;0,COUNTIF('Questionnaire OF'!B113:C113:'Questionnaire OF'!B127:C127:'Questionnaire OF'!B141:C141:'Questionnaire OF'!B155:C155:'Questionnaire OF'!B169:C169,"Yes")&amp; " out of " &amp; Filtres!B15,"Not applicable")</f>
        <v>0 out of 1</v>
      </c>
      <c r="C286" s="28" t="str">
        <f>IF(Filtres!$B$5="Français",Traduction!A286,Traduction!B286)</f>
        <v>0 sur 1</v>
      </c>
    </row>
    <row r="287" spans="1:3" x14ac:dyDescent="0.45">
      <c r="A287" s="28" t="str">
        <f>IF(Filtres!B16&gt;0,COUNTIF('Questionnaire OF'!B187:C187:'Questionnaire OF'!B199:C199:'Questionnaire OF'!B211:C211:'Questionnaire OF'!B223:C223:'Questionnaire OF'!B236:C236,"Oui")&amp; " sur " &amp; Filtres!B16,"Non applicable")</f>
        <v>0 sur 1</v>
      </c>
      <c r="B287" s="28" t="str">
        <f>IF(Filtres!B16&gt;0,COUNTIF('Questionnaire OF'!B187:C187:'Questionnaire OF'!B199:C199:'Questionnaire OF'!B211:C211:'Questionnaire OF'!B223:C223:'Questionnaire OF'!B236:C236,"Yes")&amp; " out of " &amp; Filtres!B16,"Not applicable")</f>
        <v>0 out of 1</v>
      </c>
      <c r="C287" s="28" t="str">
        <f>IF(Filtres!$B$5="Français",Traduction!A287,Traduction!B287)</f>
        <v>0 sur 1</v>
      </c>
    </row>
    <row r="288" spans="1:3" x14ac:dyDescent="0.45">
      <c r="A288" s="28" t="str">
        <f>IF(Filtres!B15&gt;0,COUNTIF('Questionnaire OF'!B114:C114:'Questionnaire OF'!B128:C128:'Questionnaire OF'!B142:C142:'Questionnaire OF'!B156:C156:'Questionnaire OF'!B170:C170,"Oui")&amp; " sur " &amp; Filtres!B15,"Non applicable")</f>
        <v>0 sur 1</v>
      </c>
      <c r="B288" s="28" t="str">
        <f>IF(Filtres!B15&gt;0,COUNTIF('Questionnaire OF'!B114:C114:'Questionnaire OF'!B128:C128:'Questionnaire OF'!B142:C142:'Questionnaire OF'!B156:C156:'Questionnaire OF'!B170:C170,"Yes")&amp; " out of " &amp; Filtres!B15,"Not applicable")</f>
        <v>0 out of 1</v>
      </c>
      <c r="C288" s="28" t="str">
        <f>IF(Filtres!$B$5="Français",Traduction!A288,Traduction!B288)</f>
        <v>0 sur 1</v>
      </c>
    </row>
    <row r="289" spans="1:3" x14ac:dyDescent="0.45">
      <c r="A289" s="28" t="str">
        <f>IF(Filtres!B16&gt;0,COUNTIF('Questionnaire OF'!B188:C188:'Questionnaire OF'!B200:C200:'Questionnaire OF'!B212:C212:'Questionnaire OF'!B224:C224:'Questionnaire OF'!B237:C237,"Oui")&amp; " sur " &amp; Filtres!B16,"Non applicable")</f>
        <v>0 sur 1</v>
      </c>
      <c r="B289" s="28" t="str">
        <f>IF(Filtres!B16&gt;0,COUNTIF('Questionnaire OF'!B188:C188:'Questionnaire OF'!B200:C200:'Questionnaire OF'!B212:C212:'Questionnaire OF'!B224:C224:'Questionnaire OF'!B237:C237,"Yes")&amp; " out of " &amp; Filtres!B16,"Not applicable")</f>
        <v>0 out of 1</v>
      </c>
      <c r="C289" s="28" t="str">
        <f>IF(Filtres!$B$5="Français",Traduction!A289,Traduction!B289)</f>
        <v>0 sur 1</v>
      </c>
    </row>
    <row r="290" spans="1:3" x14ac:dyDescent="0.45">
      <c r="A290" s="28" t="str">
        <f>IF(Filtres!B16&gt;0,IF('Questionnaire OF'!B189="Oui","Oui","Manquant"),"Non applicable")</f>
        <v>Manquant</v>
      </c>
      <c r="B290" s="28" t="str">
        <f>IF(Filtres!B16&gt;0,IF('Questionnaire OF'!B189="Yes","Yes","Missing"),"Not applicable")</f>
        <v>Missing</v>
      </c>
      <c r="C290" s="28" t="str">
        <f>IF(Filtres!$B$5="Français",Traduction!A290,Traduction!B290)</f>
        <v>Manquant</v>
      </c>
    </row>
    <row r="291" spans="1:3" x14ac:dyDescent="0.45">
      <c r="A291" s="28" t="str">
        <f>IF(Filtres!B17&gt;0,COUNTIF('Questionnaire OF'!B306:C306:'Questionnaire OF'!B310:C310,"Oui")&amp; " sur " &amp; Filtres!B17,"Non applicable")</f>
        <v>Non applicable</v>
      </c>
      <c r="B291" s="28" t="str">
        <f>IF(Filtres!B17&gt;0,COUNTIF('Questionnaire OF'!B306:C306:'Questionnaire OF'!B310:C310,"Yes")&amp; " out of " &amp; Filtres!B17,"Not applicable")</f>
        <v>Not applicable</v>
      </c>
      <c r="C291" s="28" t="str">
        <f>IF(Filtres!$B$5="Français",Traduction!A291,Traduction!B291)</f>
        <v>Non applicable</v>
      </c>
    </row>
    <row r="292" spans="1:3" x14ac:dyDescent="0.45">
      <c r="A292" s="28" t="str">
        <f>IF(Filtres!B15&gt;0,COUNTIF('Questionnaire OF'!B673:C673:'Questionnaire OF'!B681:C681:'Questionnaire OF'!B689:C689:'Questionnaire OF'!B697:C697:'Questionnaire OF'!B705:C705:'Questionnaire OF'!B713:C713:'Questionnaire OF'!B721:C721:'Questionnaire OF'!B729:C729:'Questionnaire OF'!B737:C737:'Questionnaire OF'!B745:C745,"Oui")&amp; " sur " &amp; Filtres!B21,"Non applicable")</f>
        <v>0 sur 1</v>
      </c>
      <c r="B292" s="28" t="str">
        <f>IF(Filtres!C15&gt;0,COUNTIF('Questionnaire OF'!C673:D673:'Questionnaire OF'!C681:D681:'Questionnaire OF'!C689:D689:'Questionnaire OF'!C697:D697:'Questionnaire OF'!C705:D705:'Questionnaire OF'!C713:D713:'Questionnaire OF'!C721:D721:'Questionnaire OF'!C729:D729:'Questionnaire OF'!C737:D737:'Questionnaire OF'!C745:D745,"Yes")&amp; " out of " &amp; Filtres!C21,"Not applicable")</f>
        <v>Not applicable</v>
      </c>
      <c r="C292" s="28" t="str">
        <f>IF(Filtres!$B$5="Français",Traduction!A292,Traduction!B292)</f>
        <v>0 sur 1</v>
      </c>
    </row>
    <row r="293" spans="1:3" x14ac:dyDescent="0.45">
      <c r="A293" s="28" t="str">
        <f>IF(Filtres!B22&gt;0,COUNTIF('Questionnaire OF'!B755:C755:'Questionnaire OF'!B765:C765:'Questionnaire OF'!B775:C775:'Questionnaire OF'!B785:C785:'Questionnaire OF'!B795:C795:'Questionnaire OF'!B805:C805:'Questionnaire OF'!B815:C815:'Questionnaire OF'!B825:C825:'Questionnaire OF'!B835:C835:'Questionnaire OF'!B845:C7164,"Oui")&amp; " sur " &amp; Filtres!B22,"Non applicable")</f>
        <v>0 sur 10</v>
      </c>
      <c r="B293" s="28" t="str">
        <f>IF(Filtres!C22&gt;0,COUNTIF('Questionnaire OF'!C755:D755:'Questionnaire OF'!C765:D765:'Questionnaire OF'!C775:D775:'Questionnaire OF'!C785:D785:'Questionnaire OF'!C795:D795:'Questionnaire OF'!C805:D805:'Questionnaire OF'!C815:D815:'Questionnaire OF'!C825:D825:'Questionnaire OF'!C835:D835:'Questionnaire OF'!C845:D7164,"Yes")&amp; " out of " &amp; Filtres!C22,"Not applicable")</f>
        <v>Not applicable</v>
      </c>
      <c r="C293" s="28" t="str">
        <f>IF(Filtres!$B$5="Français",Traduction!A293,Traduction!B293)</f>
        <v>0 sur 10</v>
      </c>
    </row>
    <row r="294" spans="1:3" x14ac:dyDescent="0.45">
      <c r="A294" s="28" t="str">
        <f>IF(OR(Filtres!B10="Prestations déterminées",Filtres!B10="cotisations déterminées"),COUNTIF('Questionnaire OF'!B80:C80,"Oui")&amp; " sur " &amp; Filtres!B6,"Non applicable")</f>
        <v>0 sur 2</v>
      </c>
      <c r="B294" s="28" t="str">
        <f>IF(OR(Filtres!C10="Prestations déterminées",Filtres!C10="cotisations déterminées"),COUNTIF('Questionnaire OF'!C80:D80,"Yes")&amp; " out of " &amp; Filtres!C6,"Not applicable")</f>
        <v>Not applicable</v>
      </c>
      <c r="C294" s="28" t="str">
        <f>IF(Filtres!$B$5="Français",Traduction!A294,Traduction!B294)</f>
        <v>0 sur 2</v>
      </c>
    </row>
    <row r="295" spans="1:3" x14ac:dyDescent="0.45">
      <c r="A295" s="28" t="str">
        <f>IF(Filtres!B12&gt;0,COUNTIF('Questionnaire OF'!B348:C348:'Questionnaire OF'!B351:C351,"Oui")&amp; " sur " &amp; Filtres!B18,"Non applicable")</f>
        <v>0 sur 0</v>
      </c>
      <c r="B295" s="28" t="str">
        <f>IF(Filtres!B18&gt;0,COUNTIF('Questionnaire OF'!B348:C348:'Questionnaire OF'!B351:C351,"Yes")&amp; " out of " &amp; Filtres!B18,"Not applicable")</f>
        <v>Not applicable</v>
      </c>
      <c r="C295" s="28" t="str">
        <f>IF(Filtres!$B$5="Français",Traduction!A295,Traduction!B295)</f>
        <v>0 sur 0</v>
      </c>
    </row>
    <row r="296" spans="1:3" x14ac:dyDescent="0.45">
      <c r="A296" s="28" t="str">
        <f>COUNTIF('Questionnaire OF'!B24:C24,"Oui")&amp;" sur " &amp;NbClients</f>
        <v>0 sur 2</v>
      </c>
      <c r="B296" s="28" t="str">
        <f>COUNTIF('Questionnaire OF'!B24:C24,"Yes")&amp;" out of " &amp;NbClients</f>
        <v>0 out of 2</v>
      </c>
      <c r="C296" s="28" t="str">
        <f>IF(Filtres!$B$5="Français",Traduction!A296,Traduction!B296)</f>
        <v>0 sur 2</v>
      </c>
    </row>
    <row r="297" spans="1:3" x14ac:dyDescent="0.45">
      <c r="A297" s="45" t="str">
        <f>COUNTIF('Questionnaire OF'!B25:C25,"Oui")&amp;" sur " &amp;NbClients</f>
        <v>0 sur 2</v>
      </c>
      <c r="B297" s="45" t="str">
        <f>COUNTIF('Questionnaire OF'!B25:C25,"Yes")&amp;" out of " &amp;NbClients</f>
        <v>0 out of 2</v>
      </c>
      <c r="C297" s="45" t="str">
        <f>IF(Filtres!$B$5="Français",Traduction!A297,Traduction!B297)</f>
        <v>0 sur 2</v>
      </c>
    </row>
    <row r="298" spans="1:3" x14ac:dyDescent="0.45">
      <c r="A298" s="45" t="s">
        <v>573</v>
      </c>
      <c r="B298" s="45" t="s">
        <v>574</v>
      </c>
      <c r="C298" s="45" t="str">
        <f>IF(Filtres!$B$5="Français",Traduction!A298,Traduction!B298)</f>
        <v>Veuillez compléter tous les éléments en rouge de la page précédente ou joindre tous les documents requis.</v>
      </c>
    </row>
    <row r="299" spans="1:3" x14ac:dyDescent="0.45">
      <c r="A299" s="1" t="s">
        <v>575</v>
      </c>
      <c r="B299" s="1" t="s">
        <v>576</v>
      </c>
      <c r="C299" s="1" t="str">
        <f>IF(Filtres!$B$5="Français",Traduction!A299,Traduction!B299)</f>
        <v>Consentement à la divulgation de renseignements personnels</v>
      </c>
    </row>
    <row r="300" spans="1:3" x14ac:dyDescent="0.45">
      <c r="A300" s="1" t="s">
        <v>577</v>
      </c>
      <c r="B300" s="1" t="s">
        <v>578</v>
      </c>
      <c r="C300" s="1" t="str">
        <f>IF(Filtres!$B$5="Français",Traduction!A300,Traduction!B300)</f>
        <v xml:space="preserve">         Je,</v>
      </c>
    </row>
    <row r="301" spans="1:3" x14ac:dyDescent="0.45">
      <c r="A301" s="1" t="s">
        <v>579</v>
      </c>
      <c r="B301" s="1" t="s">
        <v>580</v>
      </c>
      <c r="C301" s="1" t="str">
        <f>IF(Filtres!$B$5="Français",Traduction!A301,Traduction!B301)</f>
        <v>, autorise mon conseiller à contacter les professionnels</v>
      </c>
    </row>
    <row r="302" spans="1:3" x14ac:dyDescent="0.45">
      <c r="A302" s="1" t="s">
        <v>581</v>
      </c>
      <c r="B302" s="1" t="s">
        <v>582</v>
      </c>
      <c r="C302" s="1" t="str">
        <f>IF(Filtres!$B$5="Français",Traduction!A302,Traduction!B302)</f>
        <v>suivants afin d'obtenir les précisions nécéssaires à l'exécution du mandat d'optimisation fiscale.</v>
      </c>
    </row>
    <row r="303" spans="1:3" x14ac:dyDescent="0.45">
      <c r="A303" s="1" t="s">
        <v>583</v>
      </c>
      <c r="B303" s="1" t="s">
        <v>584</v>
      </c>
      <c r="C303" s="1" t="str">
        <f>IF(Filtres!$B$5="Français",Traduction!A303,Traduction!B303)</f>
        <v xml:space="preserve">Nom du comptable : </v>
      </c>
    </row>
    <row r="304" spans="1:3" x14ac:dyDescent="0.45">
      <c r="A304" s="1" t="s">
        <v>585</v>
      </c>
      <c r="B304" s="1" t="s">
        <v>586</v>
      </c>
      <c r="C304" s="1" t="str">
        <f>IF(Filtres!$B$5="Français",Traduction!A304,Traduction!B304)</f>
        <v>Courriel du comptable :</v>
      </c>
    </row>
    <row r="305" spans="1:3" x14ac:dyDescent="0.45">
      <c r="A305" s="1" t="s">
        <v>587</v>
      </c>
      <c r="B305" s="1" t="s">
        <v>588</v>
      </c>
      <c r="C305" s="1" t="str">
        <f>IF(Filtres!$B$5="Français",Traduction!A305,Traduction!B305)</f>
        <v xml:space="preserve">Nom du fiscaliste : </v>
      </c>
    </row>
    <row r="306" spans="1:3" x14ac:dyDescent="0.45">
      <c r="A306" s="1" t="s">
        <v>589</v>
      </c>
      <c r="B306" s="1" t="s">
        <v>590</v>
      </c>
      <c r="C306" s="1" t="str">
        <f>IF(Filtres!$B$5="Français",Traduction!A306,Traduction!B306)</f>
        <v>Courriel du fiscaliste :</v>
      </c>
    </row>
    <row r="307" spans="1:3" x14ac:dyDescent="0.45">
      <c r="A307" s="1" t="s">
        <v>591</v>
      </c>
      <c r="B307" s="1" t="s">
        <v>592</v>
      </c>
      <c r="C307" s="1" t="str">
        <f>IF(Filtres!$B$5="Français",Traduction!A307,Traduction!B307)</f>
        <v>J'autorise également mon conseiller à divulguer mes renseignements personnels, le contenu du présent</v>
      </c>
    </row>
    <row r="308" spans="1:3" x14ac:dyDescent="0.45">
      <c r="A308" s="1" t="s">
        <v>593</v>
      </c>
      <c r="B308" s="1" t="s">
        <v>594</v>
      </c>
      <c r="C308" s="1" t="str">
        <f>IF(Filtres!$B$5="Français",Traduction!A308,Traduction!B308)</f>
        <v>document ainsi que les documents identifiés à la page précédente à tous les intervenants du groupe SFL</v>
      </c>
    </row>
    <row r="309" spans="1:3" x14ac:dyDescent="0.45">
      <c r="A309" s="1" t="s">
        <v>595</v>
      </c>
      <c r="B309" s="1" t="s">
        <v>596</v>
      </c>
      <c r="C309" s="1" t="str">
        <f>IF(Filtres!$B$5="Français",Traduction!A309,Traduction!B309)</f>
        <v xml:space="preserve">Expertise afin de leur permettre de procéder à l'exécution du mandat d'optimisation fiscale. </v>
      </c>
    </row>
    <row r="310" spans="1:3" x14ac:dyDescent="0.45">
      <c r="A310" s="1" t="s">
        <v>597</v>
      </c>
      <c r="B310" s="1" t="s">
        <v>598</v>
      </c>
      <c r="C310" s="1" t="str">
        <f>IF(Filtres!$B$5="Français",Traduction!A310,Traduction!B310)</f>
        <v xml:space="preserve">Signature du client : </v>
      </c>
    </row>
    <row r="311" spans="1:3" x14ac:dyDescent="0.45">
      <c r="A311" s="1" t="s">
        <v>599</v>
      </c>
      <c r="B311" s="1" t="s">
        <v>600</v>
      </c>
      <c r="C311" s="1" t="str">
        <f>IF(Filtres!$B$5="Français",Traduction!A311,Traduction!B311)</f>
        <v>Nom du client</v>
      </c>
    </row>
    <row r="312" spans="1:3" x14ac:dyDescent="0.45">
      <c r="A312" s="1" t="s">
        <v>601</v>
      </c>
      <c r="B312" s="1" t="s">
        <v>602</v>
      </c>
      <c r="C312" s="1" t="str">
        <f>IF(Filtres!$B$5="Français",Traduction!A312,Traduction!B312)</f>
        <v xml:space="preserve">Signature conseiller : </v>
      </c>
    </row>
    <row r="313" spans="1:3" ht="14.65" thickBot="1" x14ac:dyDescent="0.5">
      <c r="A313" s="79" t="s">
        <v>603</v>
      </c>
      <c r="B313" s="79" t="s">
        <v>604</v>
      </c>
      <c r="C313" s="79" t="str">
        <f>IF(Filtres!$B$5="Français",Traduction!A313,Traduction!B313)</f>
        <v>Nom du conseiller :</v>
      </c>
    </row>
    <row r="314" spans="1:3" x14ac:dyDescent="0.45">
      <c r="A314" s="76" t="s">
        <v>5</v>
      </c>
      <c r="B314" s="77" t="s">
        <v>605</v>
      </c>
      <c r="C314" s="78" t="str">
        <f>IF(Filtres!$B$5="Français",Traduction!A314,Traduction!B314)</f>
        <v>Oui</v>
      </c>
    </row>
    <row r="315" spans="1:3" x14ac:dyDescent="0.45">
      <c r="A315" s="42" t="s">
        <v>1</v>
      </c>
      <c r="B315" s="41" t="s">
        <v>606</v>
      </c>
      <c r="C315" s="40" t="str">
        <f>IF(Filtres!$B$5="Français",Traduction!A315,Traduction!B315)</f>
        <v>Non</v>
      </c>
    </row>
    <row r="316" spans="1:3" x14ac:dyDescent="0.45">
      <c r="A316" s="42" t="s">
        <v>607</v>
      </c>
      <c r="B316" s="41" t="s">
        <v>173</v>
      </c>
      <c r="C316" s="40" t="str">
        <f>IF(Filtres!$B$5="Français",Traduction!A316,Traduction!B316)</f>
        <v>Cotisations déterminées</v>
      </c>
    </row>
    <row r="317" spans="1:3" x14ac:dyDescent="0.45">
      <c r="A317" s="42" t="s">
        <v>608</v>
      </c>
      <c r="B317" s="41" t="s">
        <v>161</v>
      </c>
      <c r="C317" s="40" t="str">
        <f>IF(Filtres!$B$5="Français",Traduction!A317,Traduction!B317)</f>
        <v>Prestations déterminées</v>
      </c>
    </row>
    <row r="318" spans="1:3" x14ac:dyDescent="0.45">
      <c r="A318" s="42" t="s">
        <v>609</v>
      </c>
      <c r="B318" s="41" t="s">
        <v>610</v>
      </c>
      <c r="C318" s="40" t="str">
        <f>IF(Filtres!$B$5="Français",Traduction!A318,Traduction!B318)</f>
        <v>Québec</v>
      </c>
    </row>
    <row r="319" spans="1:3" x14ac:dyDescent="0.45">
      <c r="A319" s="42" t="s">
        <v>611</v>
      </c>
      <c r="B319" s="41" t="s">
        <v>611</v>
      </c>
      <c r="C319" s="40" t="str">
        <f>IF(Filtres!$B$5="Français",Traduction!A319,Traduction!B319)</f>
        <v>Ontario</v>
      </c>
    </row>
    <row r="320" spans="1:3" x14ac:dyDescent="0.45">
      <c r="A320" s="42" t="s">
        <v>612</v>
      </c>
      <c r="B320" s="41" t="s">
        <v>613</v>
      </c>
      <c r="C320" s="40" t="str">
        <f>IF(Filtres!$B$5="Français",Traduction!A320,Traduction!B320)</f>
        <v>Nouveau-Brunswick</v>
      </c>
    </row>
    <row r="321" spans="1:3" x14ac:dyDescent="0.45">
      <c r="A321" s="42" t="s">
        <v>614</v>
      </c>
      <c r="B321" s="41" t="s">
        <v>615</v>
      </c>
      <c r="C321" s="40" t="str">
        <f>IF(Filtres!$B$5="Français",Traduction!A321,Traduction!B321)</f>
        <v>Veuf</v>
      </c>
    </row>
    <row r="322" spans="1:3" x14ac:dyDescent="0.45">
      <c r="A322" s="42" t="s">
        <v>616</v>
      </c>
      <c r="B322" s="41" t="s">
        <v>617</v>
      </c>
      <c r="C322" s="40" t="str">
        <f>IF(Filtres!$B$5="Français",Traduction!A322,Traduction!B322)</f>
        <v>Non veuf</v>
      </c>
    </row>
    <row r="323" spans="1:3" x14ac:dyDescent="0.45">
      <c r="A323" s="42" t="s">
        <v>618</v>
      </c>
      <c r="B323" s="41" t="s">
        <v>619</v>
      </c>
      <c r="C323" s="40" t="str">
        <f>IF(Filtres!$B$5="Français",Traduction!A323,Traduction!B323)</f>
        <v>Masculin</v>
      </c>
    </row>
    <row r="324" spans="1:3" x14ac:dyDescent="0.45">
      <c r="A324" s="42" t="s">
        <v>620</v>
      </c>
      <c r="B324" s="41" t="s">
        <v>621</v>
      </c>
      <c r="C324" s="40" t="str">
        <f>IF(Filtres!$B$5="Français",Traduction!A324,Traduction!B324)</f>
        <v>Féminin</v>
      </c>
    </row>
    <row r="325" spans="1:3" x14ac:dyDescent="0.45">
      <c r="A325" s="42" t="s">
        <v>622</v>
      </c>
      <c r="B325" s="41" t="s">
        <v>623</v>
      </c>
      <c r="C325" s="40" t="str">
        <f>IF(Filtres!$B$5="Français",Traduction!A325,Traduction!B325)</f>
        <v>Fumeur</v>
      </c>
    </row>
    <row r="326" spans="1:3" x14ac:dyDescent="0.45">
      <c r="A326" s="42" t="s">
        <v>624</v>
      </c>
      <c r="B326" s="41" t="s">
        <v>625</v>
      </c>
      <c r="C326" s="40" t="str">
        <f>IF(Filtres!$B$5="Français",Traduction!A326,Traduction!B326)</f>
        <v>Non fumeur</v>
      </c>
    </row>
    <row r="327" spans="1:3" x14ac:dyDescent="0.45">
      <c r="A327" s="42" t="s">
        <v>626</v>
      </c>
      <c r="B327" s="54" t="s">
        <v>627</v>
      </c>
      <c r="C327" s="52" t="str">
        <f>IF(Filtres!$B$5="Français",Traduction!A327,Traduction!B327)</f>
        <v>Non requis</v>
      </c>
    </row>
    <row r="328" spans="1:3" x14ac:dyDescent="0.45">
      <c r="A328" s="42" t="s">
        <v>628</v>
      </c>
      <c r="B328" s="54" t="s">
        <v>629</v>
      </c>
      <c r="C328" s="52" t="str">
        <f>IF(Filtres!$B$5="Français",Traduction!A328,Traduction!B328)</f>
        <v>Nom de la société propriétaire (les informations doivent être inscrites dans les sections précédentes pour être inclus dans le menu déroulant)</v>
      </c>
    </row>
    <row r="329" spans="1:3" ht="14.65" thickBot="1" x14ac:dyDescent="0.5">
      <c r="A329" s="43" t="s">
        <v>630</v>
      </c>
      <c r="B329" s="55" t="s">
        <v>631</v>
      </c>
      <c r="C329" s="53" t="str">
        <f>IF(Filtres!$B$5="Français",Traduction!A329,Traduction!B329)</f>
        <v>Pourcentage détenu par la société (%)</v>
      </c>
    </row>
    <row r="330" spans="1:3" x14ac:dyDescent="0.45">
      <c r="A330" s="37"/>
      <c r="B330" s="37"/>
      <c r="C330" s="37"/>
    </row>
    <row r="331" spans="1:3" x14ac:dyDescent="0.45">
      <c r="A331" s="1" t="s">
        <v>632</v>
      </c>
      <c r="B331" s="1" t="s">
        <v>633</v>
      </c>
      <c r="C331" s="1" t="str">
        <f>IF(Filtres!$B$5="Français",Traduction!A331,Traduction!B331)</f>
        <v>Page suivante</v>
      </c>
    </row>
    <row r="332" spans="1:3" x14ac:dyDescent="0.45">
      <c r="A332" s="1" t="s">
        <v>634</v>
      </c>
      <c r="B332" s="1" t="s">
        <v>635</v>
      </c>
      <c r="C332" s="1" t="str">
        <f>IF(Filtres!$B$5="Français",Traduction!A332,Traduction!B332)</f>
        <v>Page précédente</v>
      </c>
    </row>
    <row r="333" spans="1:3" x14ac:dyDescent="0.45">
      <c r="C333" s="80">
        <f>IF(Filtres!$B$5="Français",Traduction!A333,Traduction!B333)</f>
        <v>0</v>
      </c>
    </row>
    <row r="334" spans="1:3" x14ac:dyDescent="0.45">
      <c r="C334" s="24">
        <f>IF(Filtres!$B$5="Français",Traduction!A334,Traduction!B334)</f>
        <v>0</v>
      </c>
    </row>
    <row r="335" spans="1:3" x14ac:dyDescent="0.45">
      <c r="C335" s="24">
        <f>IF(Filtres!$B$5="Français",Traduction!A335,Traduction!B335)</f>
        <v>0</v>
      </c>
    </row>
    <row r="336" spans="1:3" x14ac:dyDescent="0.45">
      <c r="C336" s="24">
        <f>IF(Filtres!$B$5="Français",Traduction!A336,Traduction!B336)</f>
        <v>0</v>
      </c>
    </row>
    <row r="337" spans="3:3" x14ac:dyDescent="0.45">
      <c r="C337" s="24">
        <f>IF(Filtres!$B$5="Français",Traduction!A337,Traduction!B337)</f>
        <v>0</v>
      </c>
    </row>
    <row r="338" spans="3:3" x14ac:dyDescent="0.45">
      <c r="C338" s="24">
        <f>IF(Filtres!$B$5="Français",Traduction!A338,Traduction!B338)</f>
        <v>0</v>
      </c>
    </row>
    <row r="339" spans="3:3" x14ac:dyDescent="0.45">
      <c r="C339" s="24">
        <f>IF(Filtres!$B$5="Français",Traduction!A339,Traduction!B339)</f>
        <v>0</v>
      </c>
    </row>
    <row r="340" spans="3:3" x14ac:dyDescent="0.45">
      <c r="C340" s="24">
        <f>IF(Filtres!$B$5="Français",Traduction!A340,Traduction!B340)</f>
        <v>0</v>
      </c>
    </row>
    <row r="341" spans="3:3" x14ac:dyDescent="0.45">
      <c r="C341" s="24">
        <f>IF(Filtres!$B$5="Français",Traduction!A341,Traduction!B341)</f>
        <v>0</v>
      </c>
    </row>
    <row r="342" spans="3:3" x14ac:dyDescent="0.45">
      <c r="C342" s="24">
        <f>IF(Filtres!$B$5="Français",Traduction!A342,Traduction!B342)</f>
        <v>0</v>
      </c>
    </row>
    <row r="343" spans="3:3" x14ac:dyDescent="0.45">
      <c r="C343" s="24">
        <f>IF(Filtres!$B$5="Français",Traduction!A343,Traduction!B343)</f>
        <v>0</v>
      </c>
    </row>
    <row r="344" spans="3:3" x14ac:dyDescent="0.45">
      <c r="C344" s="24">
        <f>IF(Filtres!$B$5="Français",Traduction!A344,Traduction!B344)</f>
        <v>0</v>
      </c>
    </row>
    <row r="345" spans="3:3" x14ac:dyDescent="0.45">
      <c r="C345" s="24">
        <f>IF(Filtres!$B$5="Français",Traduction!A345,Traduction!B345)</f>
        <v>0</v>
      </c>
    </row>
    <row r="346" spans="3:3" x14ac:dyDescent="0.45">
      <c r="C346" s="24">
        <f>IF(Filtres!$B$5="Français",Traduction!A346,Traduction!B346)</f>
        <v>0</v>
      </c>
    </row>
    <row r="347" spans="3:3" x14ac:dyDescent="0.45">
      <c r="C347" s="24">
        <f>IF(Filtres!$B$5="Français",Traduction!A347,Traduction!B347)</f>
        <v>0</v>
      </c>
    </row>
    <row r="348" spans="3:3" x14ac:dyDescent="0.45">
      <c r="C348" s="24">
        <f>IF(Filtres!$B$5="Français",Traduction!A348,Traduction!B348)</f>
        <v>0</v>
      </c>
    </row>
    <row r="349" spans="3:3" x14ac:dyDescent="0.45">
      <c r="C349" s="24">
        <f>IF(Filtres!$B$5="Français",Traduction!A349,Traduction!B349)</f>
        <v>0</v>
      </c>
    </row>
    <row r="350" spans="3:3" x14ac:dyDescent="0.45">
      <c r="C350" s="24">
        <f>IF(Filtres!$B$5="Français",Traduction!A350,Traduction!B350)</f>
        <v>0</v>
      </c>
    </row>
    <row r="351" spans="3:3" x14ac:dyDescent="0.45">
      <c r="C351" s="24">
        <f>IF(Filtres!$B$5="Français",Traduction!A351,Traduction!B351)</f>
        <v>0</v>
      </c>
    </row>
    <row r="352" spans="3:3" x14ac:dyDescent="0.45">
      <c r="C352" s="24">
        <f>IF(Filtres!$B$5="Français",Traduction!A352,Traduction!B352)</f>
        <v>0</v>
      </c>
    </row>
    <row r="353" spans="3:3" x14ac:dyDescent="0.45">
      <c r="C353" s="24">
        <f>IF(Filtres!$B$5="Français",Traduction!A353,Traduction!B353)</f>
        <v>0</v>
      </c>
    </row>
    <row r="354" spans="3:3" x14ac:dyDescent="0.45">
      <c r="C354" s="24">
        <f>IF(Filtres!$B$5="Français",Traduction!A354,Traduction!B354)</f>
        <v>0</v>
      </c>
    </row>
    <row r="355" spans="3:3" x14ac:dyDescent="0.45">
      <c r="C355" s="24">
        <f>IF(Filtres!$B$5="Français",Traduction!A355,Traduction!B355)</f>
        <v>0</v>
      </c>
    </row>
    <row r="356" spans="3:3" x14ac:dyDescent="0.45">
      <c r="C356" s="24">
        <f>IF(Filtres!$B$5="Français",Traduction!A356,Traduction!B356)</f>
        <v>0</v>
      </c>
    </row>
    <row r="357" spans="3:3" x14ac:dyDescent="0.45">
      <c r="C357" s="24">
        <f>IF(Filtres!$B$5="Français",Traduction!A357,Traduction!B357)</f>
        <v>0</v>
      </c>
    </row>
    <row r="358" spans="3:3" x14ac:dyDescent="0.45">
      <c r="C358" s="24">
        <f>IF(Filtres!$B$5="Français",Traduction!A358,Traduction!B358)</f>
        <v>0</v>
      </c>
    </row>
    <row r="359" spans="3:3" x14ac:dyDescent="0.45">
      <c r="C359" s="24">
        <f>IF(Filtres!$B$5="Français",Traduction!A359,Traduction!B359)</f>
        <v>0</v>
      </c>
    </row>
    <row r="360" spans="3:3" x14ac:dyDescent="0.45">
      <c r="C360" s="24">
        <f>IF(Filtres!$B$5="Français",Traduction!A360,Traduction!B360)</f>
        <v>0</v>
      </c>
    </row>
    <row r="361" spans="3:3" x14ac:dyDescent="0.45">
      <c r="C361" s="24">
        <f>IF(Filtres!$B$5="Français",Traduction!A361,Traduction!B361)</f>
        <v>0</v>
      </c>
    </row>
    <row r="362" spans="3:3" x14ac:dyDescent="0.45">
      <c r="C362" s="24">
        <f>IF(Filtres!$B$5="Français",Traduction!A362,Traduction!B362)</f>
        <v>0</v>
      </c>
    </row>
    <row r="363" spans="3:3" x14ac:dyDescent="0.45">
      <c r="C363" s="24">
        <f>IF(Filtres!$B$5="Français",Traduction!A363,Traduction!B363)</f>
        <v>0</v>
      </c>
    </row>
    <row r="364" spans="3:3" x14ac:dyDescent="0.45">
      <c r="C364" s="24">
        <f>IF(Filtres!$B$5="Français",Traduction!A364,Traduction!B364)</f>
        <v>0</v>
      </c>
    </row>
    <row r="365" spans="3:3" x14ac:dyDescent="0.45">
      <c r="C365" s="24">
        <f>IF(Filtres!$B$5="Français",Traduction!A365,Traduction!B365)</f>
        <v>0</v>
      </c>
    </row>
    <row r="366" spans="3:3" x14ac:dyDescent="0.45">
      <c r="C366" s="24">
        <f>IF(Filtres!$B$5="Français",Traduction!A366,Traduction!B366)</f>
        <v>0</v>
      </c>
    </row>
    <row r="367" spans="3:3" x14ac:dyDescent="0.45">
      <c r="C367" s="24">
        <f>IF(Filtres!$B$5="Français",Traduction!A367,Traduction!B367)</f>
        <v>0</v>
      </c>
    </row>
    <row r="368" spans="3:3" x14ac:dyDescent="0.45">
      <c r="C368" s="24">
        <f>IF(Filtres!$B$5="Français",Traduction!A368,Traduction!B368)</f>
        <v>0</v>
      </c>
    </row>
    <row r="369" spans="3:3" x14ac:dyDescent="0.45">
      <c r="C369" s="24">
        <f>IF(Filtres!$B$5="Français",Traduction!A369,Traduction!B369)</f>
        <v>0</v>
      </c>
    </row>
    <row r="370" spans="3:3" x14ac:dyDescent="0.45">
      <c r="C370" s="24">
        <f>IF(Filtres!$B$5="Français",Traduction!A370,Traduction!B370)</f>
        <v>0</v>
      </c>
    </row>
    <row r="371" spans="3:3" x14ac:dyDescent="0.45">
      <c r="C371" s="24">
        <f>IF(Filtres!$B$5="Français",Traduction!A371,Traduction!B371)</f>
        <v>0</v>
      </c>
    </row>
    <row r="372" spans="3:3" x14ac:dyDescent="0.45">
      <c r="C372" s="24">
        <f>IF(Filtres!$B$5="Français",Traduction!A372,Traduction!B372)</f>
        <v>0</v>
      </c>
    </row>
    <row r="373" spans="3:3" x14ac:dyDescent="0.45">
      <c r="C373" s="24">
        <f>IF(Filtres!$B$5="Français",Traduction!A373,Traduction!B373)</f>
        <v>0</v>
      </c>
    </row>
    <row r="374" spans="3:3" x14ac:dyDescent="0.45">
      <c r="C374" s="24">
        <f>IF(Filtres!$B$5="Français",Traduction!A374,Traduction!B374)</f>
        <v>0</v>
      </c>
    </row>
    <row r="375" spans="3:3" x14ac:dyDescent="0.45">
      <c r="C375" s="24">
        <f>IF(Filtres!$B$5="Français",Traduction!A375,Traduction!B375)</f>
        <v>0</v>
      </c>
    </row>
    <row r="376" spans="3:3" x14ac:dyDescent="0.45">
      <c r="C376" s="24">
        <f>IF(Filtres!$B$5="Français",Traduction!A376,Traduction!B376)</f>
        <v>0</v>
      </c>
    </row>
    <row r="377" spans="3:3" x14ac:dyDescent="0.45">
      <c r="C377" s="24">
        <f>IF(Filtres!$B$5="Français",Traduction!A377,Traduction!B377)</f>
        <v>0</v>
      </c>
    </row>
    <row r="378" spans="3:3" x14ac:dyDescent="0.45">
      <c r="C378" s="24">
        <f>IF(Filtres!$B$5="Français",Traduction!A378,Traduction!B378)</f>
        <v>0</v>
      </c>
    </row>
    <row r="379" spans="3:3" x14ac:dyDescent="0.45">
      <c r="C379" s="24">
        <f>IF(Filtres!$B$5="Français",Traduction!A379,Traduction!B379)</f>
        <v>0</v>
      </c>
    </row>
    <row r="380" spans="3:3" x14ac:dyDescent="0.45">
      <c r="C380" s="24">
        <f>IF(Filtres!$B$5="Français",Traduction!A380,Traduction!B380)</f>
        <v>0</v>
      </c>
    </row>
    <row r="381" spans="3:3" x14ac:dyDescent="0.45">
      <c r="C381" s="24">
        <f>IF(Filtres!$B$5="Français",Traduction!A381,Traduction!B381)</f>
        <v>0</v>
      </c>
    </row>
    <row r="382" spans="3:3" x14ac:dyDescent="0.45">
      <c r="C382" s="24">
        <f>IF(Filtres!$B$5="Français",Traduction!A382,Traduction!B382)</f>
        <v>0</v>
      </c>
    </row>
    <row r="383" spans="3:3" x14ac:dyDescent="0.45">
      <c r="C383" s="24">
        <f>IF(Filtres!$B$5="Français",Traduction!A383,Traduction!B383)</f>
        <v>0</v>
      </c>
    </row>
    <row r="384" spans="3:3" x14ac:dyDescent="0.45">
      <c r="C384" s="24">
        <f>IF(Filtres!$B$5="Français",Traduction!A384,Traduction!B384)</f>
        <v>0</v>
      </c>
    </row>
    <row r="385" spans="3:3" x14ac:dyDescent="0.45">
      <c r="C385" s="24">
        <f>IF(Filtres!$B$5="Français",Traduction!A385,Traduction!B385)</f>
        <v>0</v>
      </c>
    </row>
    <row r="386" spans="3:3" x14ac:dyDescent="0.45">
      <c r="C386" s="24">
        <f>IF(Filtres!$B$5="Français",Traduction!A386,Traduction!B386)</f>
        <v>0</v>
      </c>
    </row>
    <row r="387" spans="3:3" x14ac:dyDescent="0.45">
      <c r="C387" s="24">
        <f>IF(Filtres!$B$5="Français",Traduction!A387,Traduction!B387)</f>
        <v>0</v>
      </c>
    </row>
    <row r="388" spans="3:3" x14ac:dyDescent="0.45">
      <c r="C388" s="24">
        <f>IF(Filtres!$B$5="Français",Traduction!A388,Traduction!B388)</f>
        <v>0</v>
      </c>
    </row>
    <row r="389" spans="3:3" x14ac:dyDescent="0.45">
      <c r="C389" s="24">
        <f>IF(Filtres!$B$5="Français",Traduction!A389,Traduction!B389)</f>
        <v>0</v>
      </c>
    </row>
    <row r="390" spans="3:3" x14ac:dyDescent="0.45">
      <c r="C390" s="24">
        <f>IF(Filtres!$B$5="Français",Traduction!A390,Traduction!B390)</f>
        <v>0</v>
      </c>
    </row>
    <row r="391" spans="3:3" x14ac:dyDescent="0.45">
      <c r="C391" s="24">
        <f>IF(Filtres!$B$5="Français",Traduction!A391,Traduction!B391)</f>
        <v>0</v>
      </c>
    </row>
    <row r="392" spans="3:3" x14ac:dyDescent="0.45">
      <c r="C392" s="24">
        <f>IF(Filtres!$B$5="Français",Traduction!A392,Traduction!B392)</f>
        <v>0</v>
      </c>
    </row>
    <row r="393" spans="3:3" x14ac:dyDescent="0.45">
      <c r="C393" s="24">
        <f>IF(Filtres!$B$5="Français",Traduction!A393,Traduction!B393)</f>
        <v>0</v>
      </c>
    </row>
    <row r="394" spans="3:3" x14ac:dyDescent="0.45">
      <c r="C394" s="24">
        <f>IF(Filtres!$B$5="Français",Traduction!A394,Traduction!B394)</f>
        <v>0</v>
      </c>
    </row>
    <row r="395" spans="3:3" x14ac:dyDescent="0.45">
      <c r="C395" s="24">
        <f>IF(Filtres!$B$5="Français",Traduction!A395,Traduction!B395)</f>
        <v>0</v>
      </c>
    </row>
    <row r="396" spans="3:3" x14ac:dyDescent="0.45">
      <c r="C396" s="24">
        <f>IF(Filtres!$B$5="Français",Traduction!A396,Traduction!B396)</f>
        <v>0</v>
      </c>
    </row>
    <row r="397" spans="3:3" x14ac:dyDescent="0.45">
      <c r="C397" s="24">
        <f>IF(Filtres!$B$5="Français",Traduction!A397,Traduction!B397)</f>
        <v>0</v>
      </c>
    </row>
    <row r="398" spans="3:3" x14ac:dyDescent="0.45">
      <c r="C398" s="24">
        <f>IF(Filtres!$B$5="Français",Traduction!A398,Traduction!B398)</f>
        <v>0</v>
      </c>
    </row>
    <row r="399" spans="3:3" x14ac:dyDescent="0.45">
      <c r="C399" s="24">
        <f>IF(Filtres!$B$5="Français",Traduction!A399,Traduction!B399)</f>
        <v>0</v>
      </c>
    </row>
    <row r="400" spans="3:3" x14ac:dyDescent="0.45">
      <c r="C400" s="24">
        <f>IF(Filtres!$B$5="Français",Traduction!A400,Traduction!B400)</f>
        <v>0</v>
      </c>
    </row>
    <row r="401" spans="3:3" x14ac:dyDescent="0.45">
      <c r="C401" s="24">
        <f>IF(Filtres!$B$5="Français",Traduction!A401,Traduction!B401)</f>
        <v>0</v>
      </c>
    </row>
    <row r="402" spans="3:3" x14ac:dyDescent="0.45">
      <c r="C402" s="24">
        <f>IF(Filtres!$B$5="Français",Traduction!A402,Traduction!B402)</f>
        <v>0</v>
      </c>
    </row>
    <row r="403" spans="3:3" x14ac:dyDescent="0.45">
      <c r="C403" s="24">
        <f>IF(Filtres!$B$5="Français",Traduction!A403,Traduction!B403)</f>
        <v>0</v>
      </c>
    </row>
    <row r="404" spans="3:3" x14ac:dyDescent="0.45">
      <c r="C404" s="24">
        <f>IF(Filtres!$B$5="Français",Traduction!A404,Traduction!B404)</f>
        <v>0</v>
      </c>
    </row>
    <row r="405" spans="3:3" x14ac:dyDescent="0.45">
      <c r="C405" s="24">
        <f>IF(Filtres!$B$5="Français",Traduction!A405,Traduction!B405)</f>
        <v>0</v>
      </c>
    </row>
    <row r="406" spans="3:3" x14ac:dyDescent="0.45">
      <c r="C406" s="24">
        <f>IF(Filtres!$B$5="Français",Traduction!A406,Traduction!B406)</f>
        <v>0</v>
      </c>
    </row>
    <row r="407" spans="3:3" x14ac:dyDescent="0.45">
      <c r="C407" s="24">
        <f>IF(Filtres!$B$5="Français",Traduction!A407,Traduction!B407)</f>
        <v>0</v>
      </c>
    </row>
    <row r="408" spans="3:3" x14ac:dyDescent="0.45">
      <c r="C408" s="24">
        <f>IF(Filtres!$B$5="Français",Traduction!A408,Traduction!B408)</f>
        <v>0</v>
      </c>
    </row>
    <row r="409" spans="3:3" x14ac:dyDescent="0.45">
      <c r="C409" s="24">
        <f>IF(Filtres!$B$5="Français",Traduction!A409,Traduction!B409)</f>
        <v>0</v>
      </c>
    </row>
    <row r="410" spans="3:3" x14ac:dyDescent="0.45">
      <c r="C410" s="24">
        <f>IF(Filtres!$B$5="Français",Traduction!A410,Traduction!B410)</f>
        <v>0</v>
      </c>
    </row>
    <row r="411" spans="3:3" x14ac:dyDescent="0.45">
      <c r="C411" s="24">
        <f>IF(Filtres!$B$5="Français",Traduction!A411,Traduction!B411)</f>
        <v>0</v>
      </c>
    </row>
    <row r="412" spans="3:3" x14ac:dyDescent="0.45">
      <c r="C412" s="24">
        <f>IF(Filtres!$B$5="Français",Traduction!A412,Traduction!B412)</f>
        <v>0</v>
      </c>
    </row>
    <row r="413" spans="3:3" x14ac:dyDescent="0.45">
      <c r="C413" s="24">
        <f>IF(Filtres!$B$5="Français",Traduction!A413,Traduction!B413)</f>
        <v>0</v>
      </c>
    </row>
    <row r="414" spans="3:3" x14ac:dyDescent="0.45">
      <c r="C414" s="24">
        <f>IF(Filtres!$B$5="Français",Traduction!A414,Traduction!B414)</f>
        <v>0</v>
      </c>
    </row>
    <row r="415" spans="3:3" x14ac:dyDescent="0.45">
      <c r="C415" s="24">
        <f>IF(Filtres!$B$5="Français",Traduction!A415,Traduction!B415)</f>
        <v>0</v>
      </c>
    </row>
    <row r="416" spans="3:3" x14ac:dyDescent="0.45">
      <c r="C416" s="24">
        <f>IF(Filtres!$B$5="Français",Traduction!A416,Traduction!B416)</f>
        <v>0</v>
      </c>
    </row>
    <row r="417" spans="3:3" x14ac:dyDescent="0.45">
      <c r="C417" s="24">
        <f>IF(Filtres!$B$5="Français",Traduction!A417,Traduction!B417)</f>
        <v>0</v>
      </c>
    </row>
    <row r="418" spans="3:3" x14ac:dyDescent="0.45">
      <c r="C418" s="24">
        <f>IF(Filtres!$B$5="Français",Traduction!A418,Traduction!B418)</f>
        <v>0</v>
      </c>
    </row>
    <row r="419" spans="3:3" x14ac:dyDescent="0.45">
      <c r="C419" s="24">
        <f>IF(Filtres!$B$5="Français",Traduction!A419,Traduction!B419)</f>
        <v>0</v>
      </c>
    </row>
    <row r="420" spans="3:3" x14ac:dyDescent="0.45">
      <c r="C420" s="24">
        <f>IF(Filtres!$B$5="Français",Traduction!A420,Traduction!B420)</f>
        <v>0</v>
      </c>
    </row>
    <row r="421" spans="3:3" x14ac:dyDescent="0.45">
      <c r="C421" s="24">
        <f>IF(Filtres!$B$5="Français",Traduction!A421,Traduction!B421)</f>
        <v>0</v>
      </c>
    </row>
    <row r="422" spans="3:3" x14ac:dyDescent="0.45">
      <c r="C422" s="24">
        <f>IF(Filtres!$B$5="Français",Traduction!A422,Traduction!B422)</f>
        <v>0</v>
      </c>
    </row>
    <row r="423" spans="3:3" x14ac:dyDescent="0.45">
      <c r="C423" s="24">
        <f>IF(Filtres!$B$5="Français",Traduction!A423,Traduction!B423)</f>
        <v>0</v>
      </c>
    </row>
    <row r="424" spans="3:3" x14ac:dyDescent="0.45">
      <c r="C424" s="24">
        <f>IF(Filtres!$B$5="Français",Traduction!A424,Traduction!B424)</f>
        <v>0</v>
      </c>
    </row>
    <row r="425" spans="3:3" x14ac:dyDescent="0.45">
      <c r="C425" s="24">
        <f>IF(Filtres!$B$5="Français",Traduction!A425,Traduction!B425)</f>
        <v>0</v>
      </c>
    </row>
    <row r="426" spans="3:3" x14ac:dyDescent="0.45">
      <c r="C426" s="24">
        <f>IF(Filtres!$B$5="Français",Traduction!A426,Traduction!B426)</f>
        <v>0</v>
      </c>
    </row>
    <row r="427" spans="3:3" x14ac:dyDescent="0.45">
      <c r="C427" s="24">
        <f>IF(Filtres!$B$5="Français",Traduction!A427,Traduction!B427)</f>
        <v>0</v>
      </c>
    </row>
    <row r="428" spans="3:3" x14ac:dyDescent="0.45">
      <c r="C428" s="24">
        <f>IF(Filtres!$B$5="Français",Traduction!A428,Traduction!B428)</f>
        <v>0</v>
      </c>
    </row>
    <row r="429" spans="3:3" x14ac:dyDescent="0.45">
      <c r="C429" s="24">
        <f>IF(Filtres!$B$5="Français",Traduction!A429,Traduction!B429)</f>
        <v>0</v>
      </c>
    </row>
    <row r="430" spans="3:3" x14ac:dyDescent="0.45">
      <c r="C430" s="24">
        <f>IF(Filtres!$B$5="Français",Traduction!A430,Traduction!B430)</f>
        <v>0</v>
      </c>
    </row>
    <row r="431" spans="3:3" x14ac:dyDescent="0.45">
      <c r="C431" s="24">
        <f>IF(Filtres!$B$5="Français",Traduction!A431,Traduction!B431)</f>
        <v>0</v>
      </c>
    </row>
    <row r="432" spans="3:3" x14ac:dyDescent="0.45">
      <c r="C432" s="24">
        <f>IF(Filtres!$B$5="Français",Traduction!A432,Traduction!B432)</f>
        <v>0</v>
      </c>
    </row>
    <row r="433" spans="3:3" x14ac:dyDescent="0.45">
      <c r="C433" s="24">
        <f>IF(Filtres!$B$5="Français",Traduction!A433,Traduction!B433)</f>
        <v>0</v>
      </c>
    </row>
    <row r="434" spans="3:3" x14ac:dyDescent="0.45">
      <c r="C434" s="24">
        <f>IF(Filtres!$B$5="Français",Traduction!A434,Traduction!B434)</f>
        <v>0</v>
      </c>
    </row>
    <row r="435" spans="3:3" x14ac:dyDescent="0.45">
      <c r="C435" s="24">
        <f>IF(Filtres!$B$5="Français",Traduction!A435,Traduction!B435)</f>
        <v>0</v>
      </c>
    </row>
    <row r="436" spans="3:3" x14ac:dyDescent="0.45">
      <c r="C436" s="24">
        <f>IF(Filtres!$B$5="Français",Traduction!A436,Traduction!B436)</f>
        <v>0</v>
      </c>
    </row>
    <row r="437" spans="3:3" x14ac:dyDescent="0.45">
      <c r="C437" s="24">
        <f>IF(Filtres!$B$5="Français",Traduction!A437,Traduction!B437)</f>
        <v>0</v>
      </c>
    </row>
    <row r="438" spans="3:3" x14ac:dyDescent="0.45">
      <c r="C438" s="24">
        <f>IF(Filtres!$B$5="Français",Traduction!A438,Traduction!B438)</f>
        <v>0</v>
      </c>
    </row>
    <row r="439" spans="3:3" x14ac:dyDescent="0.45">
      <c r="C439" s="24">
        <f>IF(Filtres!$B$5="Français",Traduction!A439,Traduction!B439)</f>
        <v>0</v>
      </c>
    </row>
    <row r="440" spans="3:3" x14ac:dyDescent="0.45">
      <c r="C440" s="24">
        <f>IF(Filtres!$B$5="Français",Traduction!A440,Traduction!B440)</f>
        <v>0</v>
      </c>
    </row>
    <row r="441" spans="3:3" x14ac:dyDescent="0.45">
      <c r="C441" s="24">
        <f>IF(Filtres!$B$5="Français",Traduction!A441,Traduction!B441)</f>
        <v>0</v>
      </c>
    </row>
    <row r="442" spans="3:3" x14ac:dyDescent="0.45">
      <c r="C442" s="24">
        <f>IF(Filtres!$B$5="Français",Traduction!A442,Traduction!B442)</f>
        <v>0</v>
      </c>
    </row>
    <row r="443" spans="3:3" x14ac:dyDescent="0.45">
      <c r="C443" s="24">
        <f>IF(Filtres!$B$5="Français",Traduction!A443,Traduction!B443)</f>
        <v>0</v>
      </c>
    </row>
    <row r="444" spans="3:3" x14ac:dyDescent="0.45">
      <c r="C444" s="24">
        <f>IF(Filtres!$B$5="Français",Traduction!A444,Traduction!B444)</f>
        <v>0</v>
      </c>
    </row>
    <row r="445" spans="3:3" x14ac:dyDescent="0.45">
      <c r="C445" s="24">
        <f>IF(Filtres!$B$5="Français",Traduction!A445,Traduction!B445)</f>
        <v>0</v>
      </c>
    </row>
    <row r="446" spans="3:3" x14ac:dyDescent="0.45">
      <c r="C446" s="24">
        <f>IF(Filtres!$B$5="Français",Traduction!A446,Traduction!B446)</f>
        <v>0</v>
      </c>
    </row>
    <row r="447" spans="3:3" x14ac:dyDescent="0.45">
      <c r="C447" s="24">
        <f>IF(Filtres!$B$5="Français",Traduction!A447,Traduction!B447)</f>
        <v>0</v>
      </c>
    </row>
    <row r="448" spans="3:3" x14ac:dyDescent="0.45">
      <c r="C448" s="24">
        <f>IF(Filtres!$B$5="Français",Traduction!A448,Traduction!B448)</f>
        <v>0</v>
      </c>
    </row>
    <row r="449" spans="3:3" x14ac:dyDescent="0.45">
      <c r="C449" s="24">
        <f>IF(Filtres!$B$5="Français",Traduction!A449,Traduction!B449)</f>
        <v>0</v>
      </c>
    </row>
    <row r="450" spans="3:3" x14ac:dyDescent="0.45">
      <c r="C450" s="24">
        <f>IF(Filtres!$B$5="Français",Traduction!A450,Traduction!B450)</f>
        <v>0</v>
      </c>
    </row>
    <row r="451" spans="3:3" x14ac:dyDescent="0.45">
      <c r="C451" s="24">
        <f>IF(Filtres!$B$5="Français",Traduction!A451,Traduction!B451)</f>
        <v>0</v>
      </c>
    </row>
    <row r="452" spans="3:3" x14ac:dyDescent="0.45">
      <c r="C452" s="24">
        <f>IF(Filtres!$B$5="Français",Traduction!A452,Traduction!B452)</f>
        <v>0</v>
      </c>
    </row>
    <row r="453" spans="3:3" x14ac:dyDescent="0.45">
      <c r="C453" s="24">
        <f>IF(Filtres!$B$5="Français",Traduction!A453,Traduction!B453)</f>
        <v>0</v>
      </c>
    </row>
    <row r="454" spans="3:3" x14ac:dyDescent="0.45">
      <c r="C454" s="24">
        <f>IF(Filtres!$B$5="Français",Traduction!A454,Traduction!B454)</f>
        <v>0</v>
      </c>
    </row>
    <row r="455" spans="3:3" x14ac:dyDescent="0.45">
      <c r="C455" s="24">
        <f>IF(Filtres!$B$5="Français",Traduction!A455,Traduction!B455)</f>
        <v>0</v>
      </c>
    </row>
    <row r="456" spans="3:3" x14ac:dyDescent="0.45">
      <c r="C456" s="24">
        <f>IF(Filtres!$B$5="Français",Traduction!A456,Traduction!B456)</f>
        <v>0</v>
      </c>
    </row>
    <row r="457" spans="3:3" x14ac:dyDescent="0.45">
      <c r="C457" s="24">
        <f>IF(Filtres!$B$5="Français",Traduction!A457,Traduction!B457)</f>
        <v>0</v>
      </c>
    </row>
    <row r="458" spans="3:3" x14ac:dyDescent="0.45">
      <c r="C458" s="24">
        <f>IF(Filtres!$B$5="Français",Traduction!A458,Traduction!B458)</f>
        <v>0</v>
      </c>
    </row>
    <row r="459" spans="3:3" x14ac:dyDescent="0.45">
      <c r="C459" s="24">
        <f>IF(Filtres!$B$5="Français",Traduction!A459,Traduction!B459)</f>
        <v>0</v>
      </c>
    </row>
    <row r="460" spans="3:3" x14ac:dyDescent="0.45">
      <c r="C460" s="24">
        <f>IF(Filtres!$B$5="Français",Traduction!A460,Traduction!B460)</f>
        <v>0</v>
      </c>
    </row>
    <row r="461" spans="3:3" x14ac:dyDescent="0.45">
      <c r="C461" s="24">
        <f>IF(Filtres!$B$5="Français",Traduction!A461,Traduction!B461)</f>
        <v>0</v>
      </c>
    </row>
    <row r="462" spans="3:3" x14ac:dyDescent="0.45">
      <c r="C462" s="24">
        <f>IF(Filtres!$B$5="Français",Traduction!A462,Traduction!B462)</f>
        <v>0</v>
      </c>
    </row>
    <row r="463" spans="3:3" x14ac:dyDescent="0.45">
      <c r="C463" s="24">
        <f>IF(Filtres!$B$5="Français",Traduction!A463,Traduction!B463)</f>
        <v>0</v>
      </c>
    </row>
    <row r="464" spans="3:3" x14ac:dyDescent="0.45">
      <c r="C464" s="24">
        <f>IF(Filtres!$B$5="Français",Traduction!A464,Traduction!B464)</f>
        <v>0</v>
      </c>
    </row>
    <row r="465" spans="3:3" x14ac:dyDescent="0.45">
      <c r="C465" s="24">
        <f>IF(Filtres!$B$5="Français",Traduction!A465,Traduction!B465)</f>
        <v>0</v>
      </c>
    </row>
    <row r="466" spans="3:3" x14ac:dyDescent="0.45">
      <c r="C466" s="24">
        <f>IF(Filtres!$B$5="Français",Traduction!A466,Traduction!B466)</f>
        <v>0</v>
      </c>
    </row>
    <row r="467" spans="3:3" x14ac:dyDescent="0.45">
      <c r="C467" s="24">
        <f>IF(Filtres!$B$5="Français",Traduction!A467,Traduction!B467)</f>
        <v>0</v>
      </c>
    </row>
    <row r="468" spans="3:3" x14ac:dyDescent="0.45">
      <c r="C468" s="24">
        <f>IF(Filtres!$B$5="Français",Traduction!A468,Traduction!B468)</f>
        <v>0</v>
      </c>
    </row>
    <row r="469" spans="3:3" x14ac:dyDescent="0.45">
      <c r="C469" s="24">
        <f>IF(Filtres!$B$5="Français",Traduction!A469,Traduction!B469)</f>
        <v>0</v>
      </c>
    </row>
    <row r="470" spans="3:3" x14ac:dyDescent="0.45">
      <c r="C470" s="24">
        <f>IF(Filtres!$B$5="Français",Traduction!A470,Traduction!B470)</f>
        <v>0</v>
      </c>
    </row>
    <row r="471" spans="3:3" x14ac:dyDescent="0.45">
      <c r="C471" s="24">
        <f>IF(Filtres!$B$5="Français",Traduction!A471,Traduction!B471)</f>
        <v>0</v>
      </c>
    </row>
    <row r="472" spans="3:3" x14ac:dyDescent="0.45">
      <c r="C472" s="24">
        <f>IF(Filtres!$B$5="Français",Traduction!A472,Traduction!B472)</f>
        <v>0</v>
      </c>
    </row>
    <row r="473" spans="3:3" x14ac:dyDescent="0.45">
      <c r="C473" s="24">
        <f>IF(Filtres!$B$5="Français",Traduction!A473,Traduction!B473)</f>
        <v>0</v>
      </c>
    </row>
    <row r="474" spans="3:3" x14ac:dyDescent="0.45">
      <c r="C474" s="24">
        <f>IF(Filtres!$B$5="Français",Traduction!A474,Traduction!B474)</f>
        <v>0</v>
      </c>
    </row>
    <row r="475" spans="3:3" x14ac:dyDescent="0.45">
      <c r="C475" s="24">
        <f>IF(Filtres!$B$5="Français",Traduction!A475,Traduction!B475)</f>
        <v>0</v>
      </c>
    </row>
    <row r="476" spans="3:3" x14ac:dyDescent="0.45">
      <c r="C476" s="24">
        <f>IF(Filtres!$B$5="Français",Traduction!A476,Traduction!B476)</f>
        <v>0</v>
      </c>
    </row>
    <row r="477" spans="3:3" x14ac:dyDescent="0.45">
      <c r="C477" s="24">
        <f>IF(Filtres!$B$5="Français",Traduction!A477,Traduction!B477)</f>
        <v>0</v>
      </c>
    </row>
    <row r="478" spans="3:3" x14ac:dyDescent="0.45">
      <c r="C478" s="24">
        <f>IF(Filtres!$B$5="Français",Traduction!A478,Traduction!B478)</f>
        <v>0</v>
      </c>
    </row>
    <row r="479" spans="3:3" x14ac:dyDescent="0.45">
      <c r="C479" s="24">
        <f>IF(Filtres!$B$5="Français",Traduction!A479,Traduction!B479)</f>
        <v>0</v>
      </c>
    </row>
    <row r="480" spans="3:3" x14ac:dyDescent="0.45">
      <c r="C480" s="24">
        <f>IF(Filtres!$B$5="Français",Traduction!A480,Traduction!B480)</f>
        <v>0</v>
      </c>
    </row>
    <row r="481" spans="3:3" x14ac:dyDescent="0.45">
      <c r="C481" s="24">
        <f>IF(Filtres!$B$5="Français",Traduction!A481,Traduction!B481)</f>
        <v>0</v>
      </c>
    </row>
    <row r="482" spans="3:3" x14ac:dyDescent="0.45">
      <c r="C482" s="24">
        <f>IF(Filtres!$B$5="Français",Traduction!A482,Traduction!B482)</f>
        <v>0</v>
      </c>
    </row>
    <row r="483" spans="3:3" x14ac:dyDescent="0.45">
      <c r="C483" s="24">
        <f>IF(Filtres!$B$5="Français",Traduction!A483,Traduction!B483)</f>
        <v>0</v>
      </c>
    </row>
    <row r="484" spans="3:3" x14ac:dyDescent="0.45">
      <c r="C484" s="24">
        <f>IF(Filtres!$B$5="Français",Traduction!A484,Traduction!B484)</f>
        <v>0</v>
      </c>
    </row>
    <row r="485" spans="3:3" x14ac:dyDescent="0.45">
      <c r="C485" s="24">
        <f>IF(Filtres!$B$5="Français",Traduction!A485,Traduction!B485)</f>
        <v>0</v>
      </c>
    </row>
    <row r="486" spans="3:3" x14ac:dyDescent="0.45">
      <c r="C486" s="24">
        <f>IF(Filtres!$B$5="Français",Traduction!A486,Traduction!B486)</f>
        <v>0</v>
      </c>
    </row>
    <row r="487" spans="3:3" x14ac:dyDescent="0.45">
      <c r="C487" s="24">
        <f>IF(Filtres!$B$5="Français",Traduction!A487,Traduction!B487)</f>
        <v>0</v>
      </c>
    </row>
    <row r="488" spans="3:3" x14ac:dyDescent="0.45">
      <c r="C488" s="24">
        <f>IF(Filtres!$B$5="Français",Traduction!A488,Traduction!B488)</f>
        <v>0</v>
      </c>
    </row>
    <row r="489" spans="3:3" x14ac:dyDescent="0.45">
      <c r="C489" s="24">
        <f>IF(Filtres!$B$5="Français",Traduction!A489,Traduction!B489)</f>
        <v>0</v>
      </c>
    </row>
    <row r="490" spans="3:3" x14ac:dyDescent="0.45">
      <c r="C490" s="24">
        <f>IF(Filtres!$B$5="Français",Traduction!A490,Traduction!B490)</f>
        <v>0</v>
      </c>
    </row>
    <row r="491" spans="3:3" x14ac:dyDescent="0.45">
      <c r="C491" s="24">
        <f>IF(Filtres!$B$5="Français",Traduction!A491,Traduction!B491)</f>
        <v>0</v>
      </c>
    </row>
    <row r="492" spans="3:3" x14ac:dyDescent="0.45">
      <c r="C492" s="24">
        <f>IF(Filtres!$B$5="Français",Traduction!A492,Traduction!B492)</f>
        <v>0</v>
      </c>
    </row>
    <row r="493" spans="3:3" x14ac:dyDescent="0.45">
      <c r="C493" s="24">
        <f>IF(Filtres!$B$5="Français",Traduction!A493,Traduction!B493)</f>
        <v>0</v>
      </c>
    </row>
    <row r="494" spans="3:3" x14ac:dyDescent="0.45">
      <c r="C494" s="24">
        <f>IF(Filtres!$B$5="Français",Traduction!A494,Traduction!B494)</f>
        <v>0</v>
      </c>
    </row>
    <row r="495" spans="3:3" x14ac:dyDescent="0.45">
      <c r="C495" s="24">
        <f>IF(Filtres!$B$5="Français",Traduction!A495,Traduction!B495)</f>
        <v>0</v>
      </c>
    </row>
    <row r="496" spans="3:3" x14ac:dyDescent="0.45">
      <c r="C496" s="24">
        <f>IF(Filtres!$B$5="Français",Traduction!A496,Traduction!B496)</f>
        <v>0</v>
      </c>
    </row>
    <row r="497" spans="3:3" x14ac:dyDescent="0.45">
      <c r="C497" s="24">
        <f>IF(Filtres!$B$5="Français",Traduction!A497,Traduction!B497)</f>
        <v>0</v>
      </c>
    </row>
    <row r="498" spans="3:3" x14ac:dyDescent="0.45">
      <c r="C498" s="24">
        <f>IF(Filtres!$B$5="Français",Traduction!A498,Traduction!B498)</f>
        <v>0</v>
      </c>
    </row>
    <row r="499" spans="3:3" x14ac:dyDescent="0.45">
      <c r="C499" s="24">
        <f>IF(Filtres!$B$5="Français",Traduction!A499,Traduction!B499)</f>
        <v>0</v>
      </c>
    </row>
    <row r="500" spans="3:3" x14ac:dyDescent="0.45">
      <c r="C500" s="24">
        <f>IF(Filtres!$B$5="Français",Traduction!A500,Traduction!B500)</f>
        <v>0</v>
      </c>
    </row>
    <row r="501" spans="3:3" x14ac:dyDescent="0.45">
      <c r="C501" s="24">
        <f>IF(Filtres!$B$5="Français",Traduction!A501,Traduction!B501)</f>
        <v>0</v>
      </c>
    </row>
    <row r="502" spans="3:3" x14ac:dyDescent="0.45">
      <c r="C502" s="24">
        <f>IF(Filtres!$B$5="Français",Traduction!A502,Traduction!B502)</f>
        <v>0</v>
      </c>
    </row>
    <row r="503" spans="3:3" x14ac:dyDescent="0.45">
      <c r="C503" s="24">
        <f>IF(Filtres!$B$5="Français",Traduction!A503,Traduction!B503)</f>
        <v>0</v>
      </c>
    </row>
    <row r="504" spans="3:3" x14ac:dyDescent="0.45">
      <c r="C504" s="24">
        <f>IF(Filtres!$B$5="Français",Traduction!A504,Traduction!B504)</f>
        <v>0</v>
      </c>
    </row>
    <row r="505" spans="3:3" x14ac:dyDescent="0.45">
      <c r="C505" s="24">
        <f>IF(Filtres!$B$5="Français",Traduction!A505,Traduction!B505)</f>
        <v>0</v>
      </c>
    </row>
    <row r="506" spans="3:3" x14ac:dyDescent="0.45">
      <c r="C506" s="24">
        <f>IF(Filtres!$B$5="Français",Traduction!A506,Traduction!B506)</f>
        <v>0</v>
      </c>
    </row>
    <row r="507" spans="3:3" x14ac:dyDescent="0.45">
      <c r="C507" s="24">
        <f>IF(Filtres!$B$5="Français",Traduction!A507,Traduction!B507)</f>
        <v>0</v>
      </c>
    </row>
    <row r="508" spans="3:3" x14ac:dyDescent="0.45">
      <c r="C508" s="24">
        <f>IF(Filtres!$B$5="Français",Traduction!A508,Traduction!B508)</f>
        <v>0</v>
      </c>
    </row>
    <row r="509" spans="3:3" x14ac:dyDescent="0.45">
      <c r="C509" s="24">
        <f>IF(Filtres!$B$5="Français",Traduction!A509,Traduction!B509)</f>
        <v>0</v>
      </c>
    </row>
    <row r="510" spans="3:3" x14ac:dyDescent="0.45">
      <c r="C510" s="24">
        <f>IF(Filtres!$B$5="Français",Traduction!A510,Traduction!B510)</f>
        <v>0</v>
      </c>
    </row>
    <row r="511" spans="3:3" x14ac:dyDescent="0.45">
      <c r="C511" s="24">
        <f>IF(Filtres!$B$5="Français",Traduction!A511,Traduction!B511)</f>
        <v>0</v>
      </c>
    </row>
    <row r="512" spans="3:3" x14ac:dyDescent="0.45">
      <c r="C512" s="24">
        <f>IF(Filtres!$B$5="Français",Traduction!A512,Traduction!B512)</f>
        <v>0</v>
      </c>
    </row>
    <row r="513" spans="3:3" x14ac:dyDescent="0.45">
      <c r="C513" s="24">
        <f>IF(Filtres!$B$5="Français",Traduction!A513,Traduction!B513)</f>
        <v>0</v>
      </c>
    </row>
    <row r="514" spans="3:3" x14ac:dyDescent="0.45">
      <c r="C514" s="24">
        <f>IF(Filtres!$B$5="Français",Traduction!A514,Traduction!B514)</f>
        <v>0</v>
      </c>
    </row>
    <row r="515" spans="3:3" x14ac:dyDescent="0.45">
      <c r="C515" s="24">
        <f>IF(Filtres!$B$5="Français",Traduction!A515,Traduction!B515)</f>
        <v>0</v>
      </c>
    </row>
    <row r="516" spans="3:3" x14ac:dyDescent="0.45">
      <c r="C516" s="24">
        <f>IF(Filtres!$B$5="Français",Traduction!A516,Traduction!B516)</f>
        <v>0</v>
      </c>
    </row>
    <row r="517" spans="3:3" x14ac:dyDescent="0.45">
      <c r="C517" s="24">
        <f>IF(Filtres!$B$5="Français",Traduction!A517,Traduction!B517)</f>
        <v>0</v>
      </c>
    </row>
    <row r="518" spans="3:3" x14ac:dyDescent="0.45">
      <c r="C518" s="24">
        <f>IF(Filtres!$B$5="Français",Traduction!A518,Traduction!B518)</f>
        <v>0</v>
      </c>
    </row>
    <row r="519" spans="3:3" x14ac:dyDescent="0.45">
      <c r="C519" s="24">
        <f>IF(Filtres!$B$5="Français",Traduction!A519,Traduction!B519)</f>
        <v>0</v>
      </c>
    </row>
    <row r="520" spans="3:3" x14ac:dyDescent="0.45">
      <c r="C520" s="24">
        <f>IF(Filtres!$B$5="Français",Traduction!A520,Traduction!B520)</f>
        <v>0</v>
      </c>
    </row>
    <row r="521" spans="3:3" x14ac:dyDescent="0.45">
      <c r="C521" s="24">
        <f>IF(Filtres!$B$5="Français",Traduction!A521,Traduction!B521)</f>
        <v>0</v>
      </c>
    </row>
    <row r="522" spans="3:3" x14ac:dyDescent="0.45">
      <c r="C522" s="24">
        <f>IF(Filtres!$B$5="Français",Traduction!A522,Traduction!B522)</f>
        <v>0</v>
      </c>
    </row>
    <row r="523" spans="3:3" x14ac:dyDescent="0.45">
      <c r="C523" s="24">
        <f>IF(Filtres!$B$5="Français",Traduction!A523,Traduction!B523)</f>
        <v>0</v>
      </c>
    </row>
    <row r="524" spans="3:3" x14ac:dyDescent="0.45">
      <c r="C524" s="24">
        <f>IF(Filtres!$B$5="Français",Traduction!A524,Traduction!B524)</f>
        <v>0</v>
      </c>
    </row>
    <row r="525" spans="3:3" x14ac:dyDescent="0.45">
      <c r="C525" s="24">
        <f>IF(Filtres!$B$5="Français",Traduction!A525,Traduction!B525)</f>
        <v>0</v>
      </c>
    </row>
    <row r="526" spans="3:3" x14ac:dyDescent="0.45">
      <c r="C526" s="24">
        <f>IF(Filtres!$B$5="Français",Traduction!A526,Traduction!B526)</f>
        <v>0</v>
      </c>
    </row>
    <row r="527" spans="3:3" x14ac:dyDescent="0.45">
      <c r="C527" s="24">
        <f>IF(Filtres!$B$5="Français",Traduction!A527,Traduction!B527)</f>
        <v>0</v>
      </c>
    </row>
    <row r="528" spans="3:3" x14ac:dyDescent="0.45">
      <c r="C528" s="24">
        <f>IF(Filtres!$B$5="Français",Traduction!A528,Traduction!B528)</f>
        <v>0</v>
      </c>
    </row>
    <row r="529" spans="3:3" x14ac:dyDescent="0.45">
      <c r="C529" s="24">
        <f>IF(Filtres!$B$5="Français",Traduction!A529,Traduction!B529)</f>
        <v>0</v>
      </c>
    </row>
    <row r="530" spans="3:3" x14ac:dyDescent="0.45">
      <c r="C530" s="24">
        <f>IF(Filtres!$B$5="Français",Traduction!A530,Traduction!B530)</f>
        <v>0</v>
      </c>
    </row>
    <row r="531" spans="3:3" x14ac:dyDescent="0.45">
      <c r="C531" s="24">
        <f>IF(Filtres!$B$5="Français",Traduction!A531,Traduction!B531)</f>
        <v>0</v>
      </c>
    </row>
    <row r="532" spans="3:3" x14ac:dyDescent="0.45">
      <c r="C532" s="24">
        <f>IF(Filtres!$B$5="Français",Traduction!A532,Traduction!B532)</f>
        <v>0</v>
      </c>
    </row>
    <row r="533" spans="3:3" x14ac:dyDescent="0.45">
      <c r="C533" s="24">
        <f>IF(Filtres!$B$5="Français",Traduction!A533,Traduction!B533)</f>
        <v>0</v>
      </c>
    </row>
    <row r="534" spans="3:3" x14ac:dyDescent="0.45">
      <c r="C534" s="24">
        <f>IF(Filtres!$B$5="Français",Traduction!A534,Traduction!B534)</f>
        <v>0</v>
      </c>
    </row>
    <row r="535" spans="3:3" x14ac:dyDescent="0.45">
      <c r="C535" s="24">
        <f>IF(Filtres!$B$5="Français",Traduction!A535,Traduction!B535)</f>
        <v>0</v>
      </c>
    </row>
    <row r="536" spans="3:3" x14ac:dyDescent="0.45">
      <c r="C536" s="24">
        <f>IF(Filtres!$B$5="Français",Traduction!A536,Traduction!B536)</f>
        <v>0</v>
      </c>
    </row>
    <row r="537" spans="3:3" x14ac:dyDescent="0.45">
      <c r="C537" s="24">
        <f>IF(Filtres!$B$5="Français",Traduction!A537,Traduction!B537)</f>
        <v>0</v>
      </c>
    </row>
    <row r="538" spans="3:3" x14ac:dyDescent="0.45">
      <c r="C538" s="24">
        <f>IF(Filtres!$B$5="Français",Traduction!A538,Traduction!B538)</f>
        <v>0</v>
      </c>
    </row>
    <row r="539" spans="3:3" x14ac:dyDescent="0.45">
      <c r="C539" s="24">
        <f>IF(Filtres!$B$5="Français",Traduction!A539,Traduction!B539)</f>
        <v>0</v>
      </c>
    </row>
    <row r="540" spans="3:3" x14ac:dyDescent="0.45">
      <c r="C540" s="24">
        <f>IF(Filtres!$B$5="Français",Traduction!A540,Traduction!B540)</f>
        <v>0</v>
      </c>
    </row>
    <row r="541" spans="3:3" x14ac:dyDescent="0.45">
      <c r="C541" s="24">
        <f>IF(Filtres!$B$5="Français",Traduction!A541,Traduction!B541)</f>
        <v>0</v>
      </c>
    </row>
    <row r="542" spans="3:3" x14ac:dyDescent="0.45">
      <c r="C542" s="24">
        <f>IF(Filtres!$B$5="Français",Traduction!A542,Traduction!B542)</f>
        <v>0</v>
      </c>
    </row>
    <row r="543" spans="3:3" x14ac:dyDescent="0.45">
      <c r="C543" s="24">
        <f>IF(Filtres!$B$5="Français",Traduction!A543,Traduction!B543)</f>
        <v>0</v>
      </c>
    </row>
    <row r="544" spans="3:3" x14ac:dyDescent="0.45">
      <c r="C544" s="24">
        <f>IF(Filtres!$B$5="Français",Traduction!A544,Traduction!B544)</f>
        <v>0</v>
      </c>
    </row>
    <row r="545" spans="3:3" x14ac:dyDescent="0.45">
      <c r="C545" s="24">
        <f>IF(Filtres!$B$5="Français",Traduction!A545,Traduction!B545)</f>
        <v>0</v>
      </c>
    </row>
    <row r="546" spans="3:3" x14ac:dyDescent="0.45">
      <c r="C546" s="24">
        <f>IF(Filtres!$B$5="Français",Traduction!A546,Traduction!B546)</f>
        <v>0</v>
      </c>
    </row>
    <row r="547" spans="3:3" x14ac:dyDescent="0.45">
      <c r="C547" s="24">
        <f>IF(Filtres!$B$5="Français",Traduction!A547,Traduction!B547)</f>
        <v>0</v>
      </c>
    </row>
    <row r="548" spans="3:3" x14ac:dyDescent="0.45">
      <c r="C548" s="24">
        <f>IF(Filtres!$B$5="Français",Traduction!A548,Traduction!B548)</f>
        <v>0</v>
      </c>
    </row>
    <row r="549" spans="3:3" x14ac:dyDescent="0.45">
      <c r="C549" s="24">
        <f>IF(Filtres!$B$5="Français",Traduction!A549,Traduction!B549)</f>
        <v>0</v>
      </c>
    </row>
    <row r="550" spans="3:3" x14ac:dyDescent="0.45">
      <c r="C550" s="24">
        <f>IF(Filtres!$B$5="Français",Traduction!A550,Traduction!B550)</f>
        <v>0</v>
      </c>
    </row>
    <row r="551" spans="3:3" x14ac:dyDescent="0.45">
      <c r="C551" s="24">
        <f>IF(Filtres!$B$5="Français",Traduction!A551,Traduction!B551)</f>
        <v>0</v>
      </c>
    </row>
    <row r="552" spans="3:3" x14ac:dyDescent="0.45">
      <c r="C552" s="24">
        <f>IF(Filtres!$B$5="Français",Traduction!A552,Traduction!B552)</f>
        <v>0</v>
      </c>
    </row>
    <row r="553" spans="3:3" x14ac:dyDescent="0.45">
      <c r="C553" s="24">
        <f>IF(Filtres!$B$5="Français",Traduction!A553,Traduction!B553)</f>
        <v>0</v>
      </c>
    </row>
    <row r="554" spans="3:3" x14ac:dyDescent="0.45">
      <c r="C554" s="24">
        <f>IF(Filtres!$B$5="Français",Traduction!A554,Traduction!B554)</f>
        <v>0</v>
      </c>
    </row>
    <row r="555" spans="3:3" x14ac:dyDescent="0.45">
      <c r="C555" s="24">
        <f>IF(Filtres!$B$5="Français",Traduction!A555,Traduction!B555)</f>
        <v>0</v>
      </c>
    </row>
    <row r="556" spans="3:3" x14ac:dyDescent="0.45">
      <c r="C556" s="24">
        <f>IF(Filtres!$B$5="Français",Traduction!A556,Traduction!B556)</f>
        <v>0</v>
      </c>
    </row>
    <row r="557" spans="3:3" x14ac:dyDescent="0.45">
      <c r="C557" s="24">
        <f>IF(Filtres!$B$5="Français",Traduction!A557,Traduction!B557)</f>
        <v>0</v>
      </c>
    </row>
    <row r="558" spans="3:3" x14ac:dyDescent="0.45">
      <c r="C558" s="24">
        <f>IF(Filtres!$B$5="Français",Traduction!A558,Traduction!B558)</f>
        <v>0</v>
      </c>
    </row>
    <row r="559" spans="3:3" x14ac:dyDescent="0.45">
      <c r="C559" s="24">
        <f>IF(Filtres!$B$5="Français",Traduction!A559,Traduction!B559)</f>
        <v>0</v>
      </c>
    </row>
    <row r="560" spans="3:3" x14ac:dyDescent="0.45">
      <c r="C560" s="24">
        <f>IF(Filtres!$B$5="Français",Traduction!A560,Traduction!B560)</f>
        <v>0</v>
      </c>
    </row>
    <row r="561" spans="3:3" x14ac:dyDescent="0.45">
      <c r="C561" s="24">
        <f>IF(Filtres!$B$5="Français",Traduction!A561,Traduction!B561)</f>
        <v>0</v>
      </c>
    </row>
    <row r="562" spans="3:3" x14ac:dyDescent="0.45">
      <c r="C562" s="24">
        <f>IF(Filtres!$B$5="Français",Traduction!A562,Traduction!B562)</f>
        <v>0</v>
      </c>
    </row>
    <row r="563" spans="3:3" x14ac:dyDescent="0.45">
      <c r="C563" s="24">
        <f>IF(Filtres!$B$5="Français",Traduction!A563,Traduction!B563)</f>
        <v>0</v>
      </c>
    </row>
    <row r="564" spans="3:3" x14ac:dyDescent="0.45">
      <c r="C564" s="24">
        <f>IF(Filtres!$B$5="Français",Traduction!A564,Traduction!B564)</f>
        <v>0</v>
      </c>
    </row>
    <row r="565" spans="3:3" x14ac:dyDescent="0.45">
      <c r="C565" s="24">
        <f>IF(Filtres!$B$5="Français",Traduction!A565,Traduction!B565)</f>
        <v>0</v>
      </c>
    </row>
    <row r="566" spans="3:3" x14ac:dyDescent="0.45">
      <c r="C566" s="24">
        <f>IF(Filtres!$B$5="Français",Traduction!A566,Traduction!B566)</f>
        <v>0</v>
      </c>
    </row>
    <row r="567" spans="3:3" x14ac:dyDescent="0.45">
      <c r="C567" s="24">
        <f>IF(Filtres!$B$5="Français",Traduction!A567,Traduction!B567)</f>
        <v>0</v>
      </c>
    </row>
    <row r="568" spans="3:3" x14ac:dyDescent="0.45">
      <c r="C568" s="24">
        <f>IF(Filtres!$B$5="Français",Traduction!A568,Traduction!B568)</f>
        <v>0</v>
      </c>
    </row>
    <row r="569" spans="3:3" x14ac:dyDescent="0.45">
      <c r="C569" s="24">
        <f>IF(Filtres!$B$5="Français",Traduction!A569,Traduction!B569)</f>
        <v>0</v>
      </c>
    </row>
    <row r="570" spans="3:3" x14ac:dyDescent="0.45">
      <c r="C570" s="24">
        <f>IF(Filtres!$B$5="Français",Traduction!A570,Traduction!B570)</f>
        <v>0</v>
      </c>
    </row>
    <row r="571" spans="3:3" x14ac:dyDescent="0.45">
      <c r="C571" s="24">
        <f>IF(Filtres!$B$5="Français",Traduction!A571,Traduction!B571)</f>
        <v>0</v>
      </c>
    </row>
    <row r="572" spans="3:3" x14ac:dyDescent="0.45">
      <c r="C572" s="24">
        <f>IF(Filtres!$B$5="Français",Traduction!A572,Traduction!B572)</f>
        <v>0</v>
      </c>
    </row>
    <row r="573" spans="3:3" x14ac:dyDescent="0.45">
      <c r="C573" s="24">
        <f>IF(Filtres!$B$5="Français",Traduction!A573,Traduction!B573)</f>
        <v>0</v>
      </c>
    </row>
    <row r="574" spans="3:3" x14ac:dyDescent="0.45">
      <c r="C574" s="24">
        <f>IF(Filtres!$B$5="Français",Traduction!A574,Traduction!B574)</f>
        <v>0</v>
      </c>
    </row>
    <row r="575" spans="3:3" x14ac:dyDescent="0.45">
      <c r="C575" s="24">
        <f>IF(Filtres!$B$5="Français",Traduction!A575,Traduction!B575)</f>
        <v>0</v>
      </c>
    </row>
    <row r="576" spans="3:3" x14ac:dyDescent="0.45">
      <c r="C576" s="24">
        <f>IF(Filtres!$B$5="Français",Traduction!A576,Traduction!B576)</f>
        <v>0</v>
      </c>
    </row>
    <row r="577" spans="3:3" x14ac:dyDescent="0.45">
      <c r="C577" s="24">
        <f>IF(Filtres!$B$5="Français",Traduction!A577,Traduction!B577)</f>
        <v>0</v>
      </c>
    </row>
    <row r="578" spans="3:3" x14ac:dyDescent="0.45">
      <c r="C578" s="24">
        <f>IF(Filtres!$B$5="Français",Traduction!A578,Traduction!B578)</f>
        <v>0</v>
      </c>
    </row>
    <row r="579" spans="3:3" x14ac:dyDescent="0.45">
      <c r="C579" s="24">
        <f>IF(Filtres!$B$5="Français",Traduction!A579,Traduction!B579)</f>
        <v>0</v>
      </c>
    </row>
    <row r="580" spans="3:3" x14ac:dyDescent="0.45">
      <c r="C580" s="24">
        <f>IF(Filtres!$B$5="Français",Traduction!A580,Traduction!B580)</f>
        <v>0</v>
      </c>
    </row>
    <row r="581" spans="3:3" x14ac:dyDescent="0.45">
      <c r="C581" s="24">
        <f>IF(Filtres!$B$5="Français",Traduction!A581,Traduction!B581)</f>
        <v>0</v>
      </c>
    </row>
    <row r="582" spans="3:3" x14ac:dyDescent="0.45">
      <c r="C582" s="24">
        <f>IF(Filtres!$B$5="Français",Traduction!A582,Traduction!B582)</f>
        <v>0</v>
      </c>
    </row>
    <row r="583" spans="3:3" x14ac:dyDescent="0.45">
      <c r="C583" s="24">
        <f>IF(Filtres!$B$5="Français",Traduction!A583,Traduction!B583)</f>
        <v>0</v>
      </c>
    </row>
    <row r="584" spans="3:3" x14ac:dyDescent="0.45">
      <c r="C584" s="24">
        <f>IF(Filtres!$B$5="Français",Traduction!A584,Traduction!B584)</f>
        <v>0</v>
      </c>
    </row>
    <row r="585" spans="3:3" x14ac:dyDescent="0.45">
      <c r="C585" s="24">
        <f>IF(Filtres!$B$5="Français",Traduction!A585,Traduction!B585)</f>
        <v>0</v>
      </c>
    </row>
    <row r="586" spans="3:3" x14ac:dyDescent="0.45">
      <c r="C586" s="24">
        <f>IF(Filtres!$B$5="Français",Traduction!A586,Traduction!B586)</f>
        <v>0</v>
      </c>
    </row>
    <row r="587" spans="3:3" x14ac:dyDescent="0.45">
      <c r="C587" s="24">
        <f>IF(Filtres!$B$5="Français",Traduction!A587,Traduction!B587)</f>
        <v>0</v>
      </c>
    </row>
    <row r="588" spans="3:3" x14ac:dyDescent="0.45">
      <c r="C588" s="24">
        <f>IF(Filtres!$B$5="Français",Traduction!A588,Traduction!B588)</f>
        <v>0</v>
      </c>
    </row>
    <row r="589" spans="3:3" x14ac:dyDescent="0.45">
      <c r="C589" s="24">
        <f>IF(Filtres!$B$5="Français",Traduction!A589,Traduction!B589)</f>
        <v>0</v>
      </c>
    </row>
    <row r="590" spans="3:3" x14ac:dyDescent="0.45">
      <c r="C590" s="24">
        <f>IF(Filtres!$B$5="Français",Traduction!A590,Traduction!B590)</f>
        <v>0</v>
      </c>
    </row>
    <row r="591" spans="3:3" x14ac:dyDescent="0.45">
      <c r="C591" s="24">
        <f>IF(Filtres!$B$5="Français",Traduction!A591,Traduction!B591)</f>
        <v>0</v>
      </c>
    </row>
    <row r="592" spans="3:3" x14ac:dyDescent="0.45">
      <c r="C592" s="24">
        <f>IF(Filtres!$B$5="Français",Traduction!A592,Traduction!B592)</f>
        <v>0</v>
      </c>
    </row>
    <row r="593" spans="3:3" x14ac:dyDescent="0.45">
      <c r="C593" s="24">
        <f>IF(Filtres!$B$5="Français",Traduction!A593,Traduction!B593)</f>
        <v>0</v>
      </c>
    </row>
    <row r="594" spans="3:3" x14ac:dyDescent="0.45">
      <c r="C594" s="24">
        <f>IF(Filtres!$B$5="Français",Traduction!A594,Traduction!B594)</f>
        <v>0</v>
      </c>
    </row>
    <row r="595" spans="3:3" x14ac:dyDescent="0.45">
      <c r="C595" s="24">
        <f>IF(Filtres!$B$5="Français",Traduction!A595,Traduction!B595)</f>
        <v>0</v>
      </c>
    </row>
    <row r="596" spans="3:3" x14ac:dyDescent="0.45">
      <c r="C596" s="24">
        <f>IF(Filtres!$B$5="Français",Traduction!A596,Traduction!B596)</f>
        <v>0</v>
      </c>
    </row>
    <row r="597" spans="3:3" x14ac:dyDescent="0.45">
      <c r="C597" s="24">
        <f>IF(Filtres!$B$5="Français",Traduction!A597,Traduction!B597)</f>
        <v>0</v>
      </c>
    </row>
    <row r="598" spans="3:3" x14ac:dyDescent="0.45">
      <c r="C598" s="24">
        <f>IF(Filtres!$B$5="Français",Traduction!A598,Traduction!B598)</f>
        <v>0</v>
      </c>
    </row>
  </sheetData>
  <phoneticPr fontId="14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E9B478-AE19-4646-B8EB-CFE0D5E40163}">
  <sheetPr codeName="Feuil7"/>
  <dimension ref="A1:E12"/>
  <sheetViews>
    <sheetView workbookViewId="0">
      <selection activeCell="G21" sqref="G21"/>
    </sheetView>
  </sheetViews>
  <sheetFormatPr baseColWidth="10" defaultColWidth="11.3984375" defaultRowHeight="14.25" x14ac:dyDescent="0.45"/>
  <sheetData>
    <row r="1" spans="1:5" x14ac:dyDescent="0.45">
      <c r="A1">
        <f>B105</f>
        <v>0</v>
      </c>
      <c r="D1" cm="1">
        <f t="array" ref="D1:E1">'Questionnaire OF'!B111:C111</f>
        <v>0</v>
      </c>
      <c r="E1">
        <v>0</v>
      </c>
    </row>
    <row r="2" spans="1:5" x14ac:dyDescent="0.45">
      <c r="A2">
        <f>B119</f>
        <v>0</v>
      </c>
    </row>
    <row r="3" spans="1:5" x14ac:dyDescent="0.45">
      <c r="A3">
        <f>B133</f>
        <v>0</v>
      </c>
    </row>
    <row r="4" spans="1:5" x14ac:dyDescent="0.45">
      <c r="A4">
        <f>B147</f>
        <v>0</v>
      </c>
    </row>
    <row r="5" spans="1:5" x14ac:dyDescent="0.45">
      <c r="A5">
        <f>B161</f>
        <v>0</v>
      </c>
    </row>
    <row r="6" spans="1:5" x14ac:dyDescent="0.45">
      <c r="A6">
        <f>B177</f>
        <v>0</v>
      </c>
    </row>
    <row r="7" spans="1:5" x14ac:dyDescent="0.45">
      <c r="A7">
        <f>B189</f>
        <v>0</v>
      </c>
    </row>
    <row r="8" spans="1:5" x14ac:dyDescent="0.45">
      <c r="A8">
        <f>B201</f>
        <v>0</v>
      </c>
    </row>
    <row r="9" spans="1:5" x14ac:dyDescent="0.45">
      <c r="A9" cm="1">
        <f t="array" ref="A9:B9">'Questionnaire OF'!B219:C219</f>
        <v>0</v>
      </c>
      <c r="B9">
        <v>0</v>
      </c>
    </row>
    <row r="10" spans="1:5" x14ac:dyDescent="0.45">
      <c r="A10" cm="1">
        <f t="array" ref="A10:B10">'Questionnaire OF'!B207:C207</f>
        <v>0</v>
      </c>
      <c r="B10">
        <v>0</v>
      </c>
    </row>
    <row r="11" spans="1:5" x14ac:dyDescent="0.45">
      <c r="A11" t="str">
        <f>NomPrenom</f>
        <v>Monsieur X</v>
      </c>
    </row>
    <row r="12" spans="1:5" x14ac:dyDescent="0.45">
      <c r="A12" t="e">
        <f>#REF!</f>
        <v>#REF!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995F66-A7C6-42CB-9B54-31AE726AF6F3}">
  <sheetPr codeName="Feuil3">
    <tabColor theme="8" tint="0.79998168889431442"/>
    <pageSetUpPr fitToPage="1"/>
  </sheetPr>
  <dimension ref="A1:J61"/>
  <sheetViews>
    <sheetView showGridLines="0" zoomScaleNormal="100" workbookViewId="0">
      <selection activeCell="G14" sqref="G14"/>
    </sheetView>
  </sheetViews>
  <sheetFormatPr baseColWidth="10" defaultColWidth="10.73046875" defaultRowHeight="14.25" x14ac:dyDescent="0.45"/>
  <cols>
    <col min="1" max="1" width="45" customWidth="1"/>
    <col min="2" max="2" width="17.265625" bestFit="1" customWidth="1"/>
    <col min="3" max="3" width="43" customWidth="1"/>
  </cols>
  <sheetData>
    <row r="1" spans="1:10" x14ac:dyDescent="0.45">
      <c r="A1" s="202" t="str">
        <f>Traduction!C254</f>
        <v>Documents à remettre</v>
      </c>
      <c r="B1" s="202"/>
      <c r="C1" s="202"/>
      <c r="D1" s="9"/>
      <c r="E1" s="9"/>
      <c r="F1" s="9"/>
      <c r="G1" s="9"/>
      <c r="H1" s="9"/>
      <c r="I1" s="9"/>
      <c r="J1" s="9"/>
    </row>
    <row r="2" spans="1:10" x14ac:dyDescent="0.45">
      <c r="A2" s="202"/>
      <c r="B2" s="202"/>
      <c r="C2" s="202"/>
    </row>
    <row r="3" spans="1:10" x14ac:dyDescent="0.45">
      <c r="A3" s="7" t="s">
        <v>636</v>
      </c>
      <c r="B3" s="7" t="str">
        <f>Traduction!C255</f>
        <v>Joint</v>
      </c>
      <c r="C3" s="7" t="str">
        <f>Traduction!C256</f>
        <v>Personne à contacter</v>
      </c>
    </row>
    <row r="4" spans="1:10" x14ac:dyDescent="0.45">
      <c r="A4" s="1" t="str">
        <f>Traduction!C257</f>
        <v>Relevés de placements personnels Monsieur X</v>
      </c>
      <c r="B4" s="3" t="str">
        <f>Traduction!C282</f>
        <v>Manquant</v>
      </c>
      <c r="C4" s="3" t="s">
        <v>637</v>
      </c>
    </row>
    <row r="5" spans="1:10" x14ac:dyDescent="0.45">
      <c r="A5" s="1" t="str">
        <f>Traduction!C258</f>
        <v>Relevés de placements personnels Monsieur Y</v>
      </c>
      <c r="B5" s="3" t="str">
        <f>Traduction!C283</f>
        <v>Manquant</v>
      </c>
      <c r="C5" s="3" t="s">
        <v>637</v>
      </c>
    </row>
    <row r="6" spans="1:10" x14ac:dyDescent="0.45">
      <c r="A6" s="1" t="str">
        <f>Traduction!C259</f>
        <v>Relevé(s) de placement(s) société(s)</v>
      </c>
      <c r="B6" s="3" t="str">
        <f>Traduction!C284</f>
        <v>0 sur 1</v>
      </c>
      <c r="C6" s="3" t="s">
        <v>637</v>
      </c>
    </row>
    <row r="7" spans="1:10" x14ac:dyDescent="0.45">
      <c r="A7" s="1" t="str">
        <f>Traduction!C260</f>
        <v>Relevé détaillé RRQ</v>
      </c>
      <c r="B7" s="3" t="str">
        <f>Traduction!C285</f>
        <v>Manquant</v>
      </c>
      <c r="C7" s="3" t="s">
        <v>637</v>
      </c>
    </row>
    <row r="8" spans="1:10" x14ac:dyDescent="0.45">
      <c r="A8" s="1" t="str">
        <f>Traduction!C261</f>
        <v>États financiers gestion</v>
      </c>
      <c r="B8" s="3" t="str">
        <f>Traduction!C286</f>
        <v>0 sur 1</v>
      </c>
      <c r="C8" s="3" t="str">
        <f>Traduction!$C$273</f>
        <v>Comptable</v>
      </c>
    </row>
    <row r="9" spans="1:10" x14ac:dyDescent="0.45">
      <c r="A9" s="1" t="str">
        <f>Traduction!C262</f>
        <v>États financiers société(s) opérante(s)</v>
      </c>
      <c r="B9" s="3" t="str">
        <f>Traduction!C287</f>
        <v>0 sur 1</v>
      </c>
      <c r="C9" s="3" t="str">
        <f>Traduction!$C$273</f>
        <v>Comptable</v>
      </c>
    </row>
    <row r="10" spans="1:10" x14ac:dyDescent="0.45">
      <c r="A10" s="1" t="str">
        <f>Traduction!C263</f>
        <v xml:space="preserve">Déclaration de revenus T2 société(s) de gestion </v>
      </c>
      <c r="B10" s="3" t="str">
        <f>Traduction!C288</f>
        <v>0 sur 1</v>
      </c>
      <c r="C10" s="3" t="str">
        <f>Traduction!$C$273</f>
        <v>Comptable</v>
      </c>
    </row>
    <row r="11" spans="1:10" x14ac:dyDescent="0.45">
      <c r="A11" s="1" t="str">
        <f>Traduction!C264</f>
        <v xml:space="preserve">Déclaration de revenus T2 société(s) de opérante(s) </v>
      </c>
      <c r="B11" s="3" t="str">
        <f>Traduction!C289</f>
        <v>0 sur 1</v>
      </c>
      <c r="C11" s="3" t="str">
        <f>Traduction!$C$273</f>
        <v>Comptable</v>
      </c>
    </row>
    <row r="12" spans="1:10" x14ac:dyDescent="0.45">
      <c r="A12" s="1" t="str">
        <f>Traduction!C265</f>
        <v>Organigramme</v>
      </c>
      <c r="B12" s="3" t="str">
        <f>Traduction!C290</f>
        <v>Manquant</v>
      </c>
      <c r="C12" s="3" t="str">
        <f>Traduction!$C$274</f>
        <v>Fiscaliste/comptable</v>
      </c>
    </row>
    <row r="13" spans="1:10" x14ac:dyDescent="0.45">
      <c r="A13" s="1" t="str">
        <f>Traduction!C266</f>
        <v>Acte de fiducie</v>
      </c>
      <c r="B13" s="3" t="str">
        <f>Traduction!C291</f>
        <v>Non applicable</v>
      </c>
      <c r="C13" s="3" t="str">
        <f>Traduction!$C$274</f>
        <v>Fiscaliste/comptable</v>
      </c>
    </row>
    <row r="14" spans="1:10" x14ac:dyDescent="0.45">
      <c r="A14" s="1" t="str">
        <f>Traduction!C267</f>
        <v>Illustration(s) d'assurance(s) vie personnelle(s)</v>
      </c>
      <c r="B14" s="3" t="str">
        <f>Traduction!C292</f>
        <v>0 sur 1</v>
      </c>
      <c r="C14" s="3" t="str">
        <f>Traduction!$C$275</f>
        <v>Client/assureur/conseiller</v>
      </c>
    </row>
    <row r="15" spans="1:10" x14ac:dyDescent="0.45">
      <c r="A15" s="1" t="str">
        <f>Traduction!C268</f>
        <v>Illustration(s) d'assurance(s) vie corporative(s)</v>
      </c>
      <c r="B15" s="3" t="str">
        <f>Traduction!C293</f>
        <v>0 sur 10</v>
      </c>
      <c r="C15" s="3" t="str">
        <f>Traduction!$C$275</f>
        <v>Client/assureur/conseiller</v>
      </c>
    </row>
    <row r="16" spans="1:10" x14ac:dyDescent="0.45">
      <c r="A16" s="1" t="str">
        <f>Traduction!C269</f>
        <v>Relevé(s) de fonds de pension</v>
      </c>
      <c r="B16" s="3" t="str">
        <f>Traduction!C294</f>
        <v>0 sur 2</v>
      </c>
      <c r="C16" s="3" t="s">
        <v>637</v>
      </c>
    </row>
    <row r="17" spans="1:3" x14ac:dyDescent="0.45">
      <c r="A17" s="1" t="str">
        <f>Traduction!C270</f>
        <v>États financiers de la S.E.N.C</v>
      </c>
      <c r="B17" s="3" t="str">
        <f>Traduction!C295</f>
        <v>0 sur 0</v>
      </c>
      <c r="C17" s="3" t="str">
        <f>Traduction!C273</f>
        <v>Comptable</v>
      </c>
    </row>
    <row r="18" spans="1:3" x14ac:dyDescent="0.45">
      <c r="A18" s="1" t="str">
        <f>Traduction!C271</f>
        <v>Déclaration(s) de revenus (fédérale)</v>
      </c>
      <c r="B18" s="3" t="str">
        <f>Traduction!C296</f>
        <v>0 sur 2</v>
      </c>
      <c r="C18" s="3" t="s">
        <v>637</v>
      </c>
    </row>
    <row r="19" spans="1:3" x14ac:dyDescent="0.45">
      <c r="A19" s="1" t="str">
        <f>Traduction!C272</f>
        <v>Avis de cotisation (fédéral)</v>
      </c>
      <c r="B19" s="3" t="str">
        <f>Traduction!C297</f>
        <v>0 sur 2</v>
      </c>
      <c r="C19" s="3" t="s">
        <v>637</v>
      </c>
    </row>
    <row r="20" spans="1:3" x14ac:dyDescent="0.45">
      <c r="A20" s="203" t="str">
        <f>Traduction!C298</f>
        <v>Veuillez compléter tous les éléments en rouge de la page précédente ou joindre tous les documents requis.</v>
      </c>
      <c r="B20" s="203"/>
      <c r="C20" s="203"/>
    </row>
    <row r="21" spans="1:3" x14ac:dyDescent="0.45">
      <c r="A21" s="119" t="str">
        <f>Traduction!C281</f>
        <v>Utiliser cet espace pour apporter tout élément de précision aditionnel sur le dossier.</v>
      </c>
      <c r="B21" s="103"/>
      <c r="C21" s="104"/>
    </row>
    <row r="22" spans="1:3" x14ac:dyDescent="0.45">
      <c r="A22" s="105"/>
      <c r="B22" s="106"/>
      <c r="C22" s="107"/>
    </row>
    <row r="23" spans="1:3" x14ac:dyDescent="0.45">
      <c r="A23" s="105"/>
      <c r="B23" s="106"/>
      <c r="C23" s="107"/>
    </row>
    <row r="24" spans="1:3" x14ac:dyDescent="0.45">
      <c r="A24" s="105"/>
      <c r="B24" s="106"/>
      <c r="C24" s="107"/>
    </row>
    <row r="25" spans="1:3" x14ac:dyDescent="0.45">
      <c r="A25" s="105"/>
      <c r="B25" s="106"/>
      <c r="C25" s="107"/>
    </row>
    <row r="26" spans="1:3" x14ac:dyDescent="0.45">
      <c r="A26" s="108"/>
      <c r="B26" s="106"/>
      <c r="C26" s="107"/>
    </row>
    <row r="27" spans="1:3" x14ac:dyDescent="0.45">
      <c r="A27" s="105"/>
      <c r="B27" s="106"/>
      <c r="C27" s="107"/>
    </row>
    <row r="28" spans="1:3" x14ac:dyDescent="0.45">
      <c r="A28" s="105"/>
      <c r="B28" s="106"/>
      <c r="C28" s="107"/>
    </row>
    <row r="29" spans="1:3" x14ac:dyDescent="0.45">
      <c r="A29" s="105"/>
      <c r="B29" s="106"/>
      <c r="C29" s="107"/>
    </row>
    <row r="30" spans="1:3" x14ac:dyDescent="0.45">
      <c r="A30" s="105"/>
      <c r="B30" s="106"/>
      <c r="C30" s="107"/>
    </row>
    <row r="31" spans="1:3" x14ac:dyDescent="0.45">
      <c r="A31" s="105"/>
      <c r="B31" s="106"/>
      <c r="C31" s="107"/>
    </row>
    <row r="32" spans="1:3" x14ac:dyDescent="0.45">
      <c r="A32" s="105"/>
      <c r="B32" s="106"/>
      <c r="C32" s="107"/>
    </row>
    <row r="33" spans="1:3" x14ac:dyDescent="0.45">
      <c r="A33" s="105"/>
      <c r="B33" s="106"/>
      <c r="C33" s="107"/>
    </row>
    <row r="34" spans="1:3" x14ac:dyDescent="0.45">
      <c r="A34" s="105"/>
      <c r="B34" s="106"/>
      <c r="C34" s="107"/>
    </row>
    <row r="35" spans="1:3" x14ac:dyDescent="0.45">
      <c r="A35" s="105"/>
      <c r="B35" s="106"/>
      <c r="C35" s="107"/>
    </row>
    <row r="36" spans="1:3" x14ac:dyDescent="0.45">
      <c r="A36" s="105"/>
      <c r="B36" s="106"/>
      <c r="C36" s="107"/>
    </row>
    <row r="37" spans="1:3" x14ac:dyDescent="0.45">
      <c r="A37" s="105"/>
      <c r="B37" s="106"/>
      <c r="C37" s="107"/>
    </row>
    <row r="38" spans="1:3" x14ac:dyDescent="0.45">
      <c r="A38" s="105"/>
      <c r="B38" s="106"/>
      <c r="C38" s="107"/>
    </row>
    <row r="39" spans="1:3" x14ac:dyDescent="0.45">
      <c r="A39" s="105"/>
      <c r="B39" s="106"/>
      <c r="C39" s="107"/>
    </row>
    <row r="40" spans="1:3" x14ac:dyDescent="0.45">
      <c r="A40" s="105"/>
      <c r="B40" s="106"/>
      <c r="C40" s="107"/>
    </row>
    <row r="41" spans="1:3" x14ac:dyDescent="0.45">
      <c r="A41" s="105"/>
      <c r="B41" s="106"/>
      <c r="C41" s="107"/>
    </row>
    <row r="42" spans="1:3" x14ac:dyDescent="0.45">
      <c r="A42" s="105"/>
      <c r="B42" s="106"/>
      <c r="C42" s="107"/>
    </row>
    <row r="43" spans="1:3" x14ac:dyDescent="0.45">
      <c r="A43" s="105"/>
      <c r="B43" s="106"/>
      <c r="C43" s="107"/>
    </row>
    <row r="44" spans="1:3" x14ac:dyDescent="0.45">
      <c r="A44" s="105"/>
      <c r="B44" s="106"/>
      <c r="C44" s="107"/>
    </row>
    <row r="45" spans="1:3" x14ac:dyDescent="0.45">
      <c r="A45" s="105"/>
      <c r="B45" s="106"/>
      <c r="C45" s="107"/>
    </row>
    <row r="46" spans="1:3" x14ac:dyDescent="0.45">
      <c r="A46" s="105"/>
      <c r="B46" s="106"/>
      <c r="C46" s="107"/>
    </row>
    <row r="47" spans="1:3" x14ac:dyDescent="0.45">
      <c r="A47" s="105"/>
      <c r="B47" s="106"/>
      <c r="C47" s="107"/>
    </row>
    <row r="48" spans="1:3" x14ac:dyDescent="0.45">
      <c r="A48" s="105"/>
      <c r="B48" s="106"/>
      <c r="C48" s="107"/>
    </row>
    <row r="49" spans="1:10" x14ac:dyDescent="0.45">
      <c r="A49" s="105"/>
      <c r="B49" s="106"/>
      <c r="C49" s="107"/>
    </row>
    <row r="50" spans="1:10" x14ac:dyDescent="0.45">
      <c r="A50" s="105"/>
      <c r="B50" s="106"/>
      <c r="C50" s="107"/>
    </row>
    <row r="51" spans="1:10" x14ac:dyDescent="0.45">
      <c r="A51" s="105"/>
      <c r="B51" s="106"/>
      <c r="C51" s="107"/>
    </row>
    <row r="52" spans="1:10" x14ac:dyDescent="0.45">
      <c r="A52" s="105"/>
      <c r="B52" s="106"/>
      <c r="C52" s="107"/>
    </row>
    <row r="53" spans="1:10" x14ac:dyDescent="0.45">
      <c r="A53" s="105"/>
      <c r="B53" s="106"/>
      <c r="C53" s="107"/>
    </row>
    <row r="54" spans="1:10" x14ac:dyDescent="0.45">
      <c r="A54" s="105"/>
      <c r="B54" s="106"/>
      <c r="C54" s="107"/>
    </row>
    <row r="55" spans="1:10" x14ac:dyDescent="0.45">
      <c r="A55" s="109"/>
      <c r="B55" s="110"/>
      <c r="C55" s="111"/>
    </row>
    <row r="61" spans="1:10" x14ac:dyDescent="0.45">
      <c r="D61" s="12"/>
      <c r="E61" s="12"/>
      <c r="F61" s="12"/>
      <c r="G61" s="12"/>
      <c r="H61" s="12"/>
      <c r="I61" s="12"/>
      <c r="J61" s="12"/>
    </row>
  </sheetData>
  <mergeCells count="2">
    <mergeCell ref="A1:C2"/>
    <mergeCell ref="A20:C20"/>
  </mergeCells>
  <pageMargins left="0.70866141732283472" right="0.70866141732283472" top="0.74803149606299213" bottom="0.74803149606299213" header="0.31496062992125984" footer="0.31496062992125984"/>
  <pageSetup scale="85" pageOrder="overThenDown" orientation="portrait" r:id="rId1"/>
  <drawing r:id="rId2"/>
  <picture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CF2A1-2148-4770-97A8-CCDB643014C7}">
  <sheetPr codeName="Feuil6">
    <pageSetUpPr fitToPage="1"/>
  </sheetPr>
  <dimension ref="A1:J14"/>
  <sheetViews>
    <sheetView showGridLines="0" zoomScaleNormal="90" workbookViewId="0">
      <selection activeCell="A5" sqref="A5:J5"/>
    </sheetView>
  </sheetViews>
  <sheetFormatPr baseColWidth="10" defaultColWidth="10.73046875" defaultRowHeight="14.25" x14ac:dyDescent="0.45"/>
  <cols>
    <col min="9" max="9" width="13" customWidth="1"/>
    <col min="10" max="10" width="13.73046875" customWidth="1"/>
    <col min="13" max="13" width="7.73046875" bestFit="1" customWidth="1"/>
  </cols>
  <sheetData>
    <row r="1" spans="1:10" x14ac:dyDescent="0.45">
      <c r="A1" s="47" t="str">
        <f>Traduction!C276</f>
        <v xml:space="preserve">*Si des documents sont manquants et/ou des cases sont restées en rouges au questionnaire, j'autorise à ce que des hypothèses </v>
      </c>
      <c r="B1" s="48"/>
      <c r="C1" s="48"/>
      <c r="D1" s="48"/>
      <c r="E1" s="9"/>
      <c r="F1" s="9"/>
      <c r="G1" s="9"/>
      <c r="H1" s="9"/>
      <c r="I1" s="9"/>
      <c r="J1" s="10"/>
    </row>
    <row r="2" spans="1:10" x14ac:dyDescent="0.45">
      <c r="A2" s="49" t="str">
        <f>Traduction!C277</f>
        <v>soient prises et ce, si la quantité d'informations remises est suffisante. Je comprends que toute hypothèse posée est suceptible de ne</v>
      </c>
      <c r="B2" s="50"/>
      <c r="C2" s="50"/>
      <c r="D2" s="50"/>
      <c r="J2" s="11"/>
    </row>
    <row r="3" spans="1:10" x14ac:dyDescent="0.45">
      <c r="A3" s="49" t="str">
        <f>Traduction!C278</f>
        <v xml:space="preserve">pas représenter la réalité. Je m'engage à en aviser clairement mon ou mes clients et je comprends que cela peut avoir un impact </v>
      </c>
      <c r="B3" s="50"/>
      <c r="C3" s="50"/>
      <c r="D3" s="50"/>
      <c r="J3" s="11"/>
    </row>
    <row r="4" spans="1:10" x14ac:dyDescent="0.45">
      <c r="A4" s="49" t="str">
        <f>Traduction!C279</f>
        <v>sur les résultats de l'analyse et sur les recommandations.</v>
      </c>
      <c r="B4" s="50"/>
      <c r="C4" s="50"/>
      <c r="D4" s="50"/>
      <c r="J4" s="11"/>
    </row>
    <row r="5" spans="1:10" ht="28.5" x14ac:dyDescent="0.85">
      <c r="A5" s="204" t="str">
        <f>Traduction!C280</f>
        <v>Signature ou nom du conseiller</v>
      </c>
      <c r="B5" s="204"/>
      <c r="C5" s="204"/>
      <c r="D5" s="204"/>
      <c r="E5" s="204"/>
      <c r="F5" s="204"/>
      <c r="G5" s="204"/>
      <c r="H5" s="204"/>
      <c r="I5" s="204"/>
      <c r="J5" s="204"/>
    </row>
    <row r="12" spans="1:10" x14ac:dyDescent="0.45">
      <c r="E12" s="51"/>
    </row>
    <row r="14" spans="1:10" x14ac:dyDescent="0.45">
      <c r="B14" s="205"/>
      <c r="C14" s="205"/>
      <c r="D14" s="205"/>
      <c r="E14" s="205"/>
      <c r="F14" s="205"/>
      <c r="G14" s="205"/>
      <c r="H14" s="205"/>
      <c r="I14" s="205"/>
    </row>
  </sheetData>
  <mergeCells count="2">
    <mergeCell ref="A5:J5"/>
    <mergeCell ref="B14:I14"/>
  </mergeCells>
  <conditionalFormatting sqref="A5:J5">
    <cfRule type="containsText" dxfId="1" priority="1" operator="containsText" text="Signature or name of advisor">
      <formula>NOT(ISERROR(SEARCH("Signature or name of advisor",A5)))</formula>
    </cfRule>
    <cfRule type="containsText" dxfId="0" priority="2" operator="containsText" text="signature ou nom du conseiller">
      <formula>NOT(ISERROR(SEARCH("signature ou nom du conseiller",A5)))</formula>
    </cfRule>
  </conditionalFormatting>
  <pageMargins left="0.70866141732283472" right="0.70866141732283472" top="0.74803149606299213" bottom="0.74803149606299213" header="0.31496062992125984" footer="0.31496062992125984"/>
  <pageSetup scale="80" pageOrder="overThenDown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208</vt:i4>
      </vt:variant>
    </vt:vector>
  </HeadingPairs>
  <TitlesOfParts>
    <vt:vector size="213" baseType="lpstr">
      <vt:lpstr>Filtres</vt:lpstr>
      <vt:lpstr>Questionnaire OF</vt:lpstr>
      <vt:lpstr>Traduction</vt:lpstr>
      <vt:lpstr>Documents à remettre</vt:lpstr>
      <vt:lpstr>Signature conseiller</vt:lpstr>
      <vt:lpstr>AssCorpo1</vt:lpstr>
      <vt:lpstr>AssCorpo10</vt:lpstr>
      <vt:lpstr>AssCorpo2</vt:lpstr>
      <vt:lpstr>AssCorpo3</vt:lpstr>
      <vt:lpstr>AssCorpo4</vt:lpstr>
      <vt:lpstr>AssCorpo5</vt:lpstr>
      <vt:lpstr>AssCorpo6</vt:lpstr>
      <vt:lpstr>AssCorpo7</vt:lpstr>
      <vt:lpstr>AssCorpo8</vt:lpstr>
      <vt:lpstr>AssCorpo9</vt:lpstr>
      <vt:lpstr>AssViePerso1</vt:lpstr>
      <vt:lpstr>AssViePerso10</vt:lpstr>
      <vt:lpstr>AssViePerso2</vt:lpstr>
      <vt:lpstr>AssViePerso3</vt:lpstr>
      <vt:lpstr>AssViePerso4</vt:lpstr>
      <vt:lpstr>AssViePerso5</vt:lpstr>
      <vt:lpstr>AssViePerso6</vt:lpstr>
      <vt:lpstr>AssViePerso7</vt:lpstr>
      <vt:lpstr>AssViePerso8</vt:lpstr>
      <vt:lpstr>AssViePerso9</vt:lpstr>
      <vt:lpstr>AutreActif1</vt:lpstr>
      <vt:lpstr>AutreActif2</vt:lpstr>
      <vt:lpstr>AutreActif3</vt:lpstr>
      <vt:lpstr>AutreActif4</vt:lpstr>
      <vt:lpstr>AutreActif5</vt:lpstr>
      <vt:lpstr>ColonneConjoint</vt:lpstr>
      <vt:lpstr>DataNomEnfant1</vt:lpstr>
      <vt:lpstr>DataNomEnfant2</vt:lpstr>
      <vt:lpstr>DataNomEnfant3</vt:lpstr>
      <vt:lpstr>DataNomEnfant4</vt:lpstr>
      <vt:lpstr>DDNClient</vt:lpstr>
      <vt:lpstr>DDNConjoint</vt:lpstr>
      <vt:lpstr>DDNEnfant1</vt:lpstr>
      <vt:lpstr>DDNEnfant2</vt:lpstr>
      <vt:lpstr>DDNEnfant3</vt:lpstr>
      <vt:lpstr>DDNEnfant4</vt:lpstr>
      <vt:lpstr>DépenseExtra1</vt:lpstr>
      <vt:lpstr>DépenseExtra2</vt:lpstr>
      <vt:lpstr>DépenseExtra3</vt:lpstr>
      <vt:lpstr>DépenseExtra4</vt:lpstr>
      <vt:lpstr>DépenseExtra5</vt:lpstr>
      <vt:lpstr>DroitsREERInutClient</vt:lpstr>
      <vt:lpstr>DroitsREERInutConjoint</vt:lpstr>
      <vt:lpstr>EmploiFinClient</vt:lpstr>
      <vt:lpstr>EmploiFinConjoint</vt:lpstr>
      <vt:lpstr>Enfant1</vt:lpstr>
      <vt:lpstr>Enfant2</vt:lpstr>
      <vt:lpstr>Enfant3</vt:lpstr>
      <vt:lpstr>Enfant4</vt:lpstr>
      <vt:lpstr>Fiducie1</vt:lpstr>
      <vt:lpstr>Fiducie10</vt:lpstr>
      <vt:lpstr>Fiducie2</vt:lpstr>
      <vt:lpstr>Fiducie3</vt:lpstr>
      <vt:lpstr>Fiducie4</vt:lpstr>
      <vt:lpstr>Fiducie5</vt:lpstr>
      <vt:lpstr>Fiducie6</vt:lpstr>
      <vt:lpstr>Fiducie7</vt:lpstr>
      <vt:lpstr>Fiducie8</vt:lpstr>
      <vt:lpstr>Fiducie9</vt:lpstr>
      <vt:lpstr>FondsPension</vt:lpstr>
      <vt:lpstr>FondsPension2</vt:lpstr>
      <vt:lpstr>FondsPensionCD</vt:lpstr>
      <vt:lpstr>FondsPensionCD2</vt:lpstr>
      <vt:lpstr>FondsPensionPD</vt:lpstr>
      <vt:lpstr>FondsPensionPD2</vt:lpstr>
      <vt:lpstr>Gestion1</vt:lpstr>
      <vt:lpstr>Gestion2</vt:lpstr>
      <vt:lpstr>Gestion3</vt:lpstr>
      <vt:lpstr>Gestion4</vt:lpstr>
      <vt:lpstr>Gestion5</vt:lpstr>
      <vt:lpstr>ImmeubleCorpo1</vt:lpstr>
      <vt:lpstr>ImmeubleCorpo10</vt:lpstr>
      <vt:lpstr>ImmeubleCorpo2</vt:lpstr>
      <vt:lpstr>ImmeubleCorpo3</vt:lpstr>
      <vt:lpstr>ImmeubleCorpo4</vt:lpstr>
      <vt:lpstr>ImmeubleCorpo5</vt:lpstr>
      <vt:lpstr>ImmeubleCorpo6</vt:lpstr>
      <vt:lpstr>ImmeubleCorpo7</vt:lpstr>
      <vt:lpstr>ImmeubleCorpo8</vt:lpstr>
      <vt:lpstr>ImmeubleCorpo9</vt:lpstr>
      <vt:lpstr>ImmeublePerso1</vt:lpstr>
      <vt:lpstr>ImmeublePerso10</vt:lpstr>
      <vt:lpstr>ImmeublePerso2</vt:lpstr>
      <vt:lpstr>ImmeublePerso3</vt:lpstr>
      <vt:lpstr>ImmeublePerso4</vt:lpstr>
      <vt:lpstr>ImmeublePerso5</vt:lpstr>
      <vt:lpstr>ImmeublePerso6</vt:lpstr>
      <vt:lpstr>ImmeublePerso7</vt:lpstr>
      <vt:lpstr>ImmeublePerso8</vt:lpstr>
      <vt:lpstr>ImmeublePerso9</vt:lpstr>
      <vt:lpstr>Langue</vt:lpstr>
      <vt:lpstr>LiquiditésSoc1</vt:lpstr>
      <vt:lpstr>LiquiditésSoc2</vt:lpstr>
      <vt:lpstr>LiquiditésSoc3</vt:lpstr>
      <vt:lpstr>LiquiditésSoc4</vt:lpstr>
      <vt:lpstr>LiquiditésSoc5</vt:lpstr>
      <vt:lpstr>NbAssCorpo</vt:lpstr>
      <vt:lpstr>NbAssViePerso</vt:lpstr>
      <vt:lpstr>NbAutresActifs</vt:lpstr>
      <vt:lpstr>NbClients</vt:lpstr>
      <vt:lpstr>NbDépensesExtra</vt:lpstr>
      <vt:lpstr>NbEnfants</vt:lpstr>
      <vt:lpstr>NbFiducies</vt:lpstr>
      <vt:lpstr>NbGestions</vt:lpstr>
      <vt:lpstr>NbImmeublesCorpo</vt:lpstr>
      <vt:lpstr>NbImmeublesPerso</vt:lpstr>
      <vt:lpstr>NbOpérantes</vt:lpstr>
      <vt:lpstr>NbRevenusExtra</vt:lpstr>
      <vt:lpstr>NbSENC</vt:lpstr>
      <vt:lpstr>NbVentesCorpo</vt:lpstr>
      <vt:lpstr>NomConjoint</vt:lpstr>
      <vt:lpstr>NomOpérantes</vt:lpstr>
      <vt:lpstr>NomPrenom</vt:lpstr>
      <vt:lpstr>Opérante1</vt:lpstr>
      <vt:lpstr>Opérante10</vt:lpstr>
      <vt:lpstr>Opérante2</vt:lpstr>
      <vt:lpstr>Opérante3</vt:lpstr>
      <vt:lpstr>Opérante4</vt:lpstr>
      <vt:lpstr>Opérante5</vt:lpstr>
      <vt:lpstr>Opérante6</vt:lpstr>
      <vt:lpstr>Opérante7</vt:lpstr>
      <vt:lpstr>Opérante8</vt:lpstr>
      <vt:lpstr>Opérante9</vt:lpstr>
      <vt:lpstr>PBRNEClient</vt:lpstr>
      <vt:lpstr>PBRNEConjoint</vt:lpstr>
      <vt:lpstr>Province</vt:lpstr>
      <vt:lpstr>QuestionsSociétés</vt:lpstr>
      <vt:lpstr>RevenuEmploiClient</vt:lpstr>
      <vt:lpstr>RevenuEmploiConjoint</vt:lpstr>
      <vt:lpstr>RevenuEntrepriseClient</vt:lpstr>
      <vt:lpstr>RevenuEntrepriseConjoint</vt:lpstr>
      <vt:lpstr>RevenuExtra1</vt:lpstr>
      <vt:lpstr>RevenuExtra2</vt:lpstr>
      <vt:lpstr>RevenuExtra3</vt:lpstr>
      <vt:lpstr>RevenuExtra4</vt:lpstr>
      <vt:lpstr>RevenuExtra5</vt:lpstr>
      <vt:lpstr>RevenuPension1Client</vt:lpstr>
      <vt:lpstr>RevenuPension1Conjoint</vt:lpstr>
      <vt:lpstr>RevenuPension2Client</vt:lpstr>
      <vt:lpstr>RevenuPension2Conjoint</vt:lpstr>
      <vt:lpstr>RevExploitSoc1</vt:lpstr>
      <vt:lpstr>RevExploitSoc2</vt:lpstr>
      <vt:lpstr>RevExploitSoc3</vt:lpstr>
      <vt:lpstr>RevExploitSoc4</vt:lpstr>
      <vt:lpstr>RevExploitSoc5</vt:lpstr>
      <vt:lpstr>RPDB</vt:lpstr>
      <vt:lpstr>RREouRRI</vt:lpstr>
      <vt:lpstr>SalaireMaxClientSOP1</vt:lpstr>
      <vt:lpstr>SalaireMaxClientSOP2</vt:lpstr>
      <vt:lpstr>SalaireMaxClientSOP3</vt:lpstr>
      <vt:lpstr>SalaireMaxClientSOP4</vt:lpstr>
      <vt:lpstr>SalaireMaxClientSOP5</vt:lpstr>
      <vt:lpstr>SalaireMaxConjointSOP1</vt:lpstr>
      <vt:lpstr>SalaireMaxConjointSOP2</vt:lpstr>
      <vt:lpstr>SalaireMaxConjointSOP3</vt:lpstr>
      <vt:lpstr>SalaireMaxConjointSOP4</vt:lpstr>
      <vt:lpstr>SalaireMaxConjointSOP5</vt:lpstr>
      <vt:lpstr>Salarié</vt:lpstr>
      <vt:lpstr>SENC1</vt:lpstr>
      <vt:lpstr>SENC10</vt:lpstr>
      <vt:lpstr>SENC2</vt:lpstr>
      <vt:lpstr>SENC3</vt:lpstr>
      <vt:lpstr>SENC4</vt:lpstr>
      <vt:lpstr>SENC5</vt:lpstr>
      <vt:lpstr>SENC6</vt:lpstr>
      <vt:lpstr>SENC7</vt:lpstr>
      <vt:lpstr>SENC8</vt:lpstr>
      <vt:lpstr>SENC9</vt:lpstr>
      <vt:lpstr>SexeClient</vt:lpstr>
      <vt:lpstr>SexeConjoint</vt:lpstr>
      <vt:lpstr>SituationVeuf</vt:lpstr>
      <vt:lpstr>Société</vt:lpstr>
      <vt:lpstr>SoldeCD_RPDBClient</vt:lpstr>
      <vt:lpstr>SoldeCD_RPDBConjoint</vt:lpstr>
      <vt:lpstr>SoldeCELIClient</vt:lpstr>
      <vt:lpstr>SoldeCELIConjoint</vt:lpstr>
      <vt:lpstr>SoldeCRIClient</vt:lpstr>
      <vt:lpstr>SoldeCRIConjoint</vt:lpstr>
      <vt:lpstr>SoldeFERRClient</vt:lpstr>
      <vt:lpstr>SoldeFERRConjoint</vt:lpstr>
      <vt:lpstr>SoldeFRVClient</vt:lpstr>
      <vt:lpstr>SoldeFRVConjoint</vt:lpstr>
      <vt:lpstr>SoldeNEClient</vt:lpstr>
      <vt:lpstr>SoldeNEConjoint</vt:lpstr>
      <vt:lpstr>SoldeREERClient</vt:lpstr>
      <vt:lpstr>SoldeREERConjoint</vt:lpstr>
      <vt:lpstr>StatutFumeurClient</vt:lpstr>
      <vt:lpstr>StatutFumeurConjoint</vt:lpstr>
      <vt:lpstr>TableauRPDB</vt:lpstr>
      <vt:lpstr>TableauRREouRRI</vt:lpstr>
      <vt:lpstr>TableauSalarié</vt:lpstr>
      <vt:lpstr>TableauTravailleurAutonome</vt:lpstr>
      <vt:lpstr>TravailleurAutonome</vt:lpstr>
      <vt:lpstr>Validation</vt:lpstr>
      <vt:lpstr>VenteCorpo</vt:lpstr>
      <vt:lpstr>VenteCorpo1</vt:lpstr>
      <vt:lpstr>VenteCorpo10</vt:lpstr>
      <vt:lpstr>VenteCorpo2</vt:lpstr>
      <vt:lpstr>VenteCorpo3</vt:lpstr>
      <vt:lpstr>VenteCorpo4</vt:lpstr>
      <vt:lpstr>VenteCorpo5</vt:lpstr>
      <vt:lpstr>VenteCorpo6</vt:lpstr>
      <vt:lpstr>VenteCorpo7</vt:lpstr>
      <vt:lpstr>VenteCorpo8</vt:lpstr>
      <vt:lpstr>VenteCorpo9</vt:lpstr>
      <vt:lpstr>'Documents à remettre'!Zone_d_impression</vt:lpstr>
      <vt:lpstr>'Questionnaire OF'!Zone_d_impression</vt:lpstr>
      <vt:lpstr>'Signature conseiller'!Zone_d_impression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William Landini</dc:creator>
  <cp:keywords/>
  <dc:description/>
  <cp:lastModifiedBy>Jordan Quist</cp:lastModifiedBy>
  <cp:revision/>
  <dcterms:created xsi:type="dcterms:W3CDTF">2015-06-05T18:19:34Z</dcterms:created>
  <dcterms:modified xsi:type="dcterms:W3CDTF">2025-07-04T15:58:14Z</dcterms:modified>
  <cp:category/>
  <cp:contentStatus/>
</cp:coreProperties>
</file>